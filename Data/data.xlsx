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 Work\Saheen sir\Keya Apu\Ecosystem Modeling\For Github\Data\"/>
    </mc:Choice>
  </mc:AlternateContent>
  <xr:revisionPtr revIDLastSave="0" documentId="13_ncr:1_{953FB821-11C2-400E-8C91-9D042DA1E1DB}" xr6:coauthVersionLast="47" xr6:coauthVersionMax="47" xr10:uidLastSave="{00000000-0000-0000-0000-000000000000}"/>
  <bookViews>
    <workbookView xWindow="-108" yWindow="-108" windowWidth="23256" windowHeight="12456" firstSheet="2" activeTab="4" xr2:uid="{9E6BEC46-195F-430C-A7F6-F1EC13D7260F}"/>
  </bookViews>
  <sheets>
    <sheet name="main_raw_data" sheetId="2" r:id="rId1"/>
    <sheet name="raw_data_of_target_species" sheetId="9" r:id="rId2"/>
    <sheet name="reconstracted_data" sheetId="8" r:id="rId3"/>
    <sheet name="calculated_data" sheetId="1" r:id="rId4"/>
    <sheet name="Growth_and_Mortality_parameters" sheetId="3" r:id="rId5"/>
    <sheet name="P_B" sheetId="4" r:id="rId6"/>
    <sheet name="Q_B" sheetId="6" r:id="rId7"/>
    <sheet name="Diet_Matrix" sheetId="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4" l="1"/>
  <c r="K2" i="6"/>
  <c r="L2" i="6" s="1"/>
  <c r="M2" i="6" s="1"/>
  <c r="M7" i="6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L3" i="6"/>
  <c r="L4" i="6"/>
  <c r="L5" i="6"/>
  <c r="L6" i="6"/>
  <c r="L7" i="6"/>
  <c r="L8" i="6"/>
  <c r="L9" i="6"/>
  <c r="L10" i="6"/>
  <c r="L11" i="6"/>
  <c r="L12" i="6"/>
  <c r="L13" i="6"/>
  <c r="M13" i="6" s="1"/>
  <c r="L14" i="6"/>
  <c r="L15" i="6"/>
  <c r="L16" i="6"/>
  <c r="L18" i="6"/>
  <c r="M18" i="6" s="1"/>
  <c r="M9" i="6"/>
  <c r="M11" i="6"/>
  <c r="M16" i="6"/>
  <c r="G3" i="6"/>
  <c r="K3" i="6" s="1"/>
  <c r="G4" i="6"/>
  <c r="K4" i="6" s="1"/>
  <c r="G5" i="6"/>
  <c r="K5" i="6" s="1"/>
  <c r="G6" i="6"/>
  <c r="K6" i="6" s="1"/>
  <c r="G7" i="6"/>
  <c r="K7" i="6" s="1"/>
  <c r="G8" i="6"/>
  <c r="K8" i="6" s="1"/>
  <c r="G9" i="6"/>
  <c r="K9" i="6" s="1"/>
  <c r="G10" i="6"/>
  <c r="K10" i="6" s="1"/>
  <c r="G11" i="6"/>
  <c r="K11" i="6" s="1"/>
  <c r="G12" i="6"/>
  <c r="K12" i="6" s="1"/>
  <c r="G13" i="6"/>
  <c r="K13" i="6" s="1"/>
  <c r="G14" i="6"/>
  <c r="K14" i="6" s="1"/>
  <c r="G15" i="6"/>
  <c r="K15" i="6" s="1"/>
  <c r="G16" i="6"/>
  <c r="K16" i="6" s="1"/>
  <c r="G17" i="6"/>
  <c r="K17" i="6" s="1"/>
  <c r="L17" i="6" s="1"/>
  <c r="M17" i="6" s="1"/>
  <c r="G18" i="6"/>
  <c r="K18" i="6" s="1"/>
  <c r="G2" i="6"/>
  <c r="M1" i="4"/>
  <c r="F3" i="4"/>
  <c r="M3" i="4" s="1"/>
  <c r="F4" i="4"/>
  <c r="M4" i="4" s="1"/>
  <c r="F5" i="4"/>
  <c r="M5" i="4" s="1"/>
  <c r="F6" i="4"/>
  <c r="M6" i="4" s="1"/>
  <c r="F7" i="4"/>
  <c r="M7" i="4" s="1"/>
  <c r="F8" i="4"/>
  <c r="M8" i="4" s="1"/>
  <c r="F9" i="4"/>
  <c r="M9" i="4" s="1"/>
  <c r="F10" i="4"/>
  <c r="M10" i="4" s="1"/>
  <c r="N9" i="4" s="1"/>
  <c r="F11" i="4"/>
  <c r="M11" i="4" s="1"/>
  <c r="N11" i="4" s="1"/>
  <c r="F12" i="4"/>
  <c r="M12" i="4" s="1"/>
  <c r="F13" i="4"/>
  <c r="M13" i="4" s="1"/>
  <c r="F14" i="4"/>
  <c r="M14" i="4" s="1"/>
  <c r="F15" i="4"/>
  <c r="M15" i="4" s="1"/>
  <c r="F16" i="4"/>
  <c r="M16" i="4" s="1"/>
  <c r="N16" i="4" s="1"/>
  <c r="F17" i="4"/>
  <c r="M17" i="4" s="1"/>
  <c r="N17" i="4" s="1"/>
  <c r="F18" i="4"/>
  <c r="M18" i="4" s="1"/>
  <c r="N18" i="4" s="1"/>
  <c r="F2" i="4"/>
  <c r="M2" i="4" s="1"/>
  <c r="N13" i="4" l="1"/>
  <c r="N7" i="4"/>
</calcChain>
</file>

<file path=xl/sharedStrings.xml><?xml version="1.0" encoding="utf-8"?>
<sst xmlns="http://schemas.openxmlformats.org/spreadsheetml/2006/main" count="317" uniqueCount="114">
  <si>
    <t>Functional Group</t>
  </si>
  <si>
    <t>Representative Species</t>
  </si>
  <si>
    <t>Carp</t>
  </si>
  <si>
    <t>Labeo rohita</t>
  </si>
  <si>
    <t>Catla catla</t>
  </si>
  <si>
    <t>Cirrhinus mrigala</t>
  </si>
  <si>
    <t>Labeo calbasu</t>
  </si>
  <si>
    <t>Labeo bata</t>
  </si>
  <si>
    <t>Snakehead</t>
  </si>
  <si>
    <t>Channa striata</t>
  </si>
  <si>
    <t>Channa punctata</t>
  </si>
  <si>
    <t>Minnows</t>
  </si>
  <si>
    <t>Puntius sarana</t>
  </si>
  <si>
    <t>Amblypharyngodon mola</t>
  </si>
  <si>
    <t>Clupeid</t>
  </si>
  <si>
    <t>Corica soborna</t>
  </si>
  <si>
    <t>Gudusia chapra</t>
  </si>
  <si>
    <t>Catfish</t>
  </si>
  <si>
    <t>Wallago attu</t>
  </si>
  <si>
    <t>Ompok pabda</t>
  </si>
  <si>
    <t>Mystus guilio</t>
  </si>
  <si>
    <t>Tilapia</t>
  </si>
  <si>
    <t>Oreochromis niloticus</t>
  </si>
  <si>
    <t>Knifefish</t>
  </si>
  <si>
    <t>Notopterus notopterus</t>
  </si>
  <si>
    <t>Anabas</t>
  </si>
  <si>
    <t>Anabas testudineus</t>
  </si>
  <si>
    <t>Total Yield (10 years) (t)</t>
  </si>
  <si>
    <t>Yield (t/km²/year)</t>
  </si>
  <si>
    <t>Proportion (%)</t>
  </si>
  <si>
    <t>L∞​ (cm)</t>
  </si>
  <si>
    <t>K (/yr)</t>
  </si>
  <si>
    <t>M (/yr)</t>
  </si>
  <si>
    <t>Z (/yr)</t>
  </si>
  <si>
    <t>F (/yr)</t>
  </si>
  <si>
    <t>E</t>
  </si>
  <si>
    <t>References</t>
  </si>
  <si>
    <t>1. Carp</t>
  </si>
  <si>
    <t>Ahmed et al., 2005</t>
  </si>
  <si>
    <t>Ahmed et al., 2003</t>
  </si>
  <si>
    <t>Ahmed et al., 2004</t>
  </si>
  <si>
    <t>Alam et al., 2000</t>
  </si>
  <si>
    <t>Azadi et al., 1996</t>
  </si>
  <si>
    <t>2. Snakehead</t>
  </si>
  <si>
    <t>Datta et al., 2023</t>
  </si>
  <si>
    <t>Mustafa &amp; Graaf, 2008</t>
  </si>
  <si>
    <t>3. Minnows</t>
  </si>
  <si>
    <t>Kumar et al., 2016</t>
  </si>
  <si>
    <t>Azadi &amp; Mamun, 2009</t>
  </si>
  <si>
    <t>4. Clupeid</t>
  </si>
  <si>
    <t>Fishbase</t>
  </si>
  <si>
    <t>Rahman et al., 2006</t>
  </si>
  <si>
    <t>5. Catfish</t>
  </si>
  <si>
    <t>Wallago atu</t>
  </si>
  <si>
    <t>Gupta et al., 2015</t>
  </si>
  <si>
    <t>6. Tilapia</t>
  </si>
  <si>
    <t>7. Knifefish</t>
  </si>
  <si>
    <t>Mustafa et al., 2014</t>
  </si>
  <si>
    <t>8. Anabas</t>
  </si>
  <si>
    <t>Proportion</t>
  </si>
  <si>
    <t>Species</t>
  </si>
  <si>
    <t>a</t>
  </si>
  <si>
    <t>b</t>
  </si>
  <si>
    <t>W∞​ (g)</t>
  </si>
  <si>
    <t>A. mola</t>
  </si>
  <si>
    <t>Mystus gulio</t>
  </si>
  <si>
    <t>O. niloticus</t>
  </si>
  <si>
    <t>N. notopterus</t>
  </si>
  <si>
    <t>A. testudineus</t>
  </si>
  <si>
    <t>A</t>
  </si>
  <si>
    <t>h</t>
  </si>
  <si>
    <t>d</t>
  </si>
  <si>
    <t>Ahmed et al. (2005)</t>
  </si>
  <si>
    <t>Ahmed et al. (2004)</t>
  </si>
  <si>
    <t>Azadi &amp; Mamun (2009)</t>
  </si>
  <si>
    <t>FishBase</t>
  </si>
  <si>
    <t>Gupta et al. (2015)</t>
  </si>
  <si>
    <t>Mustafa et al. (2014)</t>
  </si>
  <si>
    <t>Mustafa &amp; Graaf (2008)</t>
  </si>
  <si>
    <t>B/P</t>
  </si>
  <si>
    <t>Ahmed et al. (2003)</t>
  </si>
  <si>
    <t>Alam et al. (2000)</t>
  </si>
  <si>
    <t>Azadi et al. (1996)</t>
  </si>
  <si>
    <t>Datta et al. (2023)</t>
  </si>
  <si>
    <t>Rahman et al. (2006)</t>
  </si>
  <si>
    <t>Hossain et al. (2009)</t>
  </si>
  <si>
    <t>Rahman et al. (2021)</t>
  </si>
  <si>
    <t>Borah et al. (2017)</t>
  </si>
  <si>
    <t xml:space="preserve"> Q/B (/yr)</t>
  </si>
  <si>
    <t>Proportion*Q/B</t>
  </si>
  <si>
    <t>Weighted Q/B</t>
  </si>
  <si>
    <t>Prey / Predator</t>
  </si>
  <si>
    <t>9. Prawn</t>
  </si>
  <si>
    <t>10. Insect</t>
  </si>
  <si>
    <t>11. Zoop.</t>
  </si>
  <si>
    <t>12. Phyto.</t>
  </si>
  <si>
    <t>13. Detritus</t>
  </si>
  <si>
    <t>10. Insect/Larvae</t>
  </si>
  <si>
    <t>11. Zooplankton</t>
  </si>
  <si>
    <t>12. Phytoplankton</t>
  </si>
  <si>
    <t>Import</t>
  </si>
  <si>
    <t>Sum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</si>
  <si>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</si>
  <si>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</si>
  <si>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</si>
  <si>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</si>
  <si>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</si>
  <si>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</si>
  <si>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</si>
  <si>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</si>
  <si>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</si>
  <si>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</si>
  <si>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Raw Sum</t>
  </si>
  <si>
    <t>Total Yield (10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</si>
</sst>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sz val="11"/>
      <color rgb="FF0070C0"/>
      <name val="Arial"/>
      <family val="2"/>
    </font>
    <font>
      <i/>
      <sz val="11"/>
      <color rgb="FF0070C0"/>
      <name val="Arial"/>
      <family val="2"/>
    </font>
    <font>
      <sz val="11"/>
      <color rgb="FF0070C0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7030A0"/>
      <name val="Arial"/>
      <family val="2"/>
    </font>
    <font>
      <i/>
      <sz val="11"/>
      <color rgb="FF7030A0"/>
      <name val="Arial"/>
      <family val="2"/>
    </font>
    <font>
      <sz val="11"/>
      <color rgb="FF7030A0"/>
      <name val="Arial"/>
      <family val="2"/>
    </font>
    <font>
      <sz val="11"/>
      <color rgb="FF7030A0"/>
      <name val="Calibri"/>
      <family val="2"/>
      <scheme val="minor"/>
    </font>
    <font>
      <b/>
      <sz val="11"/>
      <color rgb="FF00B050"/>
      <name val="Arial"/>
      <family val="2"/>
    </font>
    <font>
      <i/>
      <sz val="11"/>
      <color rgb="FF00B050"/>
      <name val="Arial"/>
      <family val="2"/>
    </font>
    <font>
      <sz val="11"/>
      <color rgb="FF00B050"/>
      <name val="Arial"/>
      <family val="2"/>
    </font>
    <font>
      <sz val="11"/>
      <color rgb="FF00B050"/>
      <name val="Calibri"/>
      <family val="2"/>
      <scheme val="minor"/>
    </font>
    <font>
      <b/>
      <sz val="11"/>
      <color theme="5" tint="-0.249977111117893"/>
      <name val="Arial"/>
      <family val="2"/>
    </font>
    <font>
      <i/>
      <sz val="11"/>
      <color theme="5" tint="-0.249977111117893"/>
      <name val="Arial"/>
      <family val="2"/>
    </font>
    <font>
      <sz val="11"/>
      <color theme="5" tint="-0.249977111117893"/>
      <name val="Arial"/>
      <family val="2"/>
    </font>
    <font>
      <sz val="11"/>
      <color theme="5" tint="-0.249977111117893"/>
      <name val="Calibri"/>
      <family val="2"/>
      <scheme val="minor"/>
    </font>
    <font>
      <sz val="9"/>
      <color rgb="FF242021"/>
      <name val="STIXTwoText"/>
    </font>
    <font>
      <sz val="9"/>
      <color theme="1"/>
      <name val="Nirmala UI"/>
      <family val="2"/>
    </font>
    <font>
      <sz val="9"/>
      <color theme="1"/>
      <name val="Frank Ruhl Libre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1" xfId="0" applyFont="1" applyBorder="1" applyAlignment="1">
      <alignment horizontal="right" vertical="center" wrapText="1" indent="1" readingOrder="1"/>
    </xf>
    <xf numFmtId="0" fontId="1" fillId="0" borderId="1" xfId="0" applyFont="1" applyBorder="1" applyAlignment="1">
      <alignment horizontal="right" vertical="center" wrapText="1" indent="1" readingOrder="1"/>
    </xf>
    <xf numFmtId="0" fontId="2" fillId="0" borderId="1" xfId="0" applyFont="1" applyBorder="1" applyAlignment="1">
      <alignment horizontal="right" vertical="center" readingOrder="1"/>
    </xf>
    <xf numFmtId="0" fontId="3" fillId="0" borderId="1" xfId="0" applyFont="1" applyBorder="1" applyAlignment="1">
      <alignment horizontal="right" vertical="center" readingOrder="1"/>
    </xf>
    <xf numFmtId="0" fontId="1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right" vertical="center" indent="1" readingOrder="1"/>
    </xf>
    <xf numFmtId="0" fontId="3" fillId="0" borderId="1" xfId="0" applyFont="1" applyBorder="1" applyAlignment="1">
      <alignment horizontal="right" vertical="center" indent="1" readingOrder="1"/>
    </xf>
    <xf numFmtId="0" fontId="1" fillId="0" borderId="1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left" vertical="center" indent="1" readingOrder="1"/>
    </xf>
    <xf numFmtId="0" fontId="4" fillId="0" borderId="1" xfId="0" applyFont="1" applyBorder="1" applyAlignment="1">
      <alignment horizontal="right" vertical="center" readingOrder="1"/>
    </xf>
    <xf numFmtId="0" fontId="5" fillId="0" borderId="1" xfId="0" applyFont="1" applyBorder="1" applyAlignment="1">
      <alignment horizontal="right" vertical="center" readingOrder="1"/>
    </xf>
    <xf numFmtId="0" fontId="6" fillId="0" borderId="1" xfId="0" applyFont="1" applyBorder="1" applyAlignment="1">
      <alignment horizontal="right" vertical="center" wrapText="1" indent="1" readingOrder="1"/>
    </xf>
    <xf numFmtId="0" fontId="6" fillId="0" borderId="1" xfId="0" applyFont="1" applyBorder="1" applyAlignment="1">
      <alignment horizontal="right" vertical="center" readingOrder="1"/>
    </xf>
    <xf numFmtId="0" fontId="6" fillId="0" borderId="1" xfId="0" applyFont="1" applyBorder="1" applyAlignment="1">
      <alignment horizontal="left" vertical="center" indent="1" readingOrder="1"/>
    </xf>
    <xf numFmtId="0" fontId="7" fillId="0" borderId="0" xfId="0" applyFont="1"/>
    <xf numFmtId="0" fontId="8" fillId="0" borderId="1" xfId="0" applyFont="1" applyBorder="1" applyAlignment="1">
      <alignment horizontal="right" vertical="center" readingOrder="1"/>
    </xf>
    <xf numFmtId="0" fontId="9" fillId="0" borderId="1" xfId="0" applyFont="1" applyBorder="1" applyAlignment="1">
      <alignment horizontal="right" vertical="center" readingOrder="1"/>
    </xf>
    <xf numFmtId="0" fontId="10" fillId="0" borderId="1" xfId="0" applyFont="1" applyBorder="1" applyAlignment="1">
      <alignment horizontal="right" vertical="center" wrapText="1" indent="1" readingOrder="1"/>
    </xf>
    <xf numFmtId="0" fontId="10" fillId="0" borderId="1" xfId="0" applyFont="1" applyBorder="1" applyAlignment="1">
      <alignment horizontal="right" vertical="center" readingOrder="1"/>
    </xf>
    <xf numFmtId="0" fontId="10" fillId="0" borderId="1" xfId="0" applyFont="1" applyBorder="1" applyAlignment="1">
      <alignment horizontal="left" vertical="center" indent="1" readingOrder="1"/>
    </xf>
    <xf numFmtId="0" fontId="11" fillId="0" borderId="0" xfId="0" applyFont="1"/>
    <xf numFmtId="0" fontId="12" fillId="0" borderId="1" xfId="0" applyFont="1" applyBorder="1" applyAlignment="1">
      <alignment horizontal="right" vertical="center" readingOrder="1"/>
    </xf>
    <xf numFmtId="0" fontId="13" fillId="0" borderId="1" xfId="0" applyFont="1" applyBorder="1" applyAlignment="1">
      <alignment horizontal="right" vertical="center" readingOrder="1"/>
    </xf>
    <xf numFmtId="0" fontId="14" fillId="0" borderId="1" xfId="0" applyFont="1" applyBorder="1" applyAlignment="1">
      <alignment horizontal="right" vertical="center" wrapText="1" indent="1" readingOrder="1"/>
    </xf>
    <xf numFmtId="0" fontId="14" fillId="0" borderId="1" xfId="0" applyFont="1" applyBorder="1" applyAlignment="1">
      <alignment horizontal="right" vertical="center" readingOrder="1"/>
    </xf>
    <xf numFmtId="0" fontId="14" fillId="0" borderId="1" xfId="0" applyFont="1" applyBorder="1" applyAlignment="1">
      <alignment horizontal="left" vertical="center" indent="1" readingOrder="1"/>
    </xf>
    <xf numFmtId="0" fontId="15" fillId="0" borderId="0" xfId="0" applyFont="1"/>
    <xf numFmtId="0" fontId="16" fillId="0" borderId="1" xfId="0" applyFont="1" applyBorder="1" applyAlignment="1">
      <alignment horizontal="right" vertical="center" readingOrder="1"/>
    </xf>
    <xf numFmtId="0" fontId="17" fillId="0" borderId="1" xfId="0" applyFont="1" applyBorder="1" applyAlignment="1">
      <alignment horizontal="right" vertical="center" readingOrder="1"/>
    </xf>
    <xf numFmtId="0" fontId="18" fillId="0" borderId="1" xfId="0" applyFont="1" applyBorder="1" applyAlignment="1">
      <alignment horizontal="right" vertical="center" wrapText="1" indent="1" readingOrder="1"/>
    </xf>
    <xf numFmtId="0" fontId="18" fillId="0" borderId="1" xfId="0" applyFont="1" applyBorder="1" applyAlignment="1">
      <alignment horizontal="right" vertical="center" readingOrder="1"/>
    </xf>
    <xf numFmtId="0" fontId="18" fillId="0" borderId="1" xfId="0" applyFont="1" applyBorder="1" applyAlignment="1">
      <alignment horizontal="left" vertical="center" indent="1" readingOrder="1"/>
    </xf>
    <xf numFmtId="0" fontId="19" fillId="0" borderId="0" xfId="0" applyFont="1"/>
    <xf numFmtId="0" fontId="6" fillId="0" borderId="1" xfId="0" applyFont="1" applyBorder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1" fillId="0" borderId="2" xfId="0" applyFont="1" applyBorder="1" applyAlignment="1">
      <alignment horizontal="left" vertical="center" wrapText="1" indent="1"/>
    </xf>
    <xf numFmtId="2" fontId="1" fillId="0" borderId="2" xfId="0" applyNumberFormat="1" applyFont="1" applyBorder="1" applyAlignment="1">
      <alignment horizontal="left" vertical="center" indent="1"/>
    </xf>
    <xf numFmtId="0" fontId="20" fillId="0" borderId="0" xfId="0" applyFont="1" applyAlignment="1">
      <alignment vertical="center" wrapText="1"/>
    </xf>
    <xf numFmtId="0" fontId="2" fillId="0" borderId="3" xfId="0" applyFont="1" applyBorder="1" applyAlignment="1">
      <alignment horizontal="right" vertical="center" readingOrder="1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left" vertical="center" readingOrder="1"/>
    </xf>
    <xf numFmtId="164" fontId="0" fillId="0" borderId="0" xfId="0" applyNumberFormat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right" vertical="center" wrapText="1" indent="1" readingOrder="1"/>
    </xf>
    <xf numFmtId="0" fontId="23" fillId="0" borderId="0" xfId="0" applyFont="1"/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/>
    <xf numFmtId="164" fontId="2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6" fillId="0" borderId="1" xfId="0" applyNumberFormat="1" applyFont="1" applyBorder="1" applyAlignment="1">
      <alignment horizontal="right" vertical="center" readingOrder="1"/>
    </xf>
    <xf numFmtId="164" fontId="6" fillId="0" borderId="1" xfId="0" applyNumberFormat="1" applyFont="1" applyBorder="1" applyAlignment="1">
      <alignment horizontal="center" vertical="center" readingOrder="1"/>
    </xf>
    <xf numFmtId="164" fontId="6" fillId="0" borderId="1" xfId="0" applyNumberFormat="1" applyFont="1" applyBorder="1" applyAlignment="1">
      <alignment horizontal="left" vertical="center" indent="1" readingOrder="1"/>
    </xf>
    <xf numFmtId="164" fontId="1" fillId="0" borderId="1" xfId="0" applyNumberFormat="1" applyFont="1" applyBorder="1" applyAlignment="1">
      <alignment horizontal="right" vertical="center" readingOrder="1"/>
    </xf>
    <xf numFmtId="164" fontId="1" fillId="0" borderId="1" xfId="0" applyNumberFormat="1" applyFont="1" applyBorder="1" applyAlignment="1">
      <alignment horizontal="left" vertical="center" indent="1" readingOrder="1"/>
    </xf>
    <xf numFmtId="164" fontId="10" fillId="0" borderId="1" xfId="0" applyNumberFormat="1" applyFont="1" applyBorder="1" applyAlignment="1">
      <alignment horizontal="right" vertical="center" readingOrder="1"/>
    </xf>
    <xf numFmtId="164" fontId="10" fillId="0" borderId="1" xfId="0" applyNumberFormat="1" applyFont="1" applyBorder="1" applyAlignment="1">
      <alignment horizontal="left" vertical="center" indent="1" readingOrder="1"/>
    </xf>
    <xf numFmtId="164" fontId="14" fillId="0" borderId="1" xfId="0" applyNumberFormat="1" applyFont="1" applyBorder="1" applyAlignment="1">
      <alignment horizontal="right" vertical="center" readingOrder="1"/>
    </xf>
    <xf numFmtId="164" fontId="14" fillId="0" borderId="1" xfId="0" applyNumberFormat="1" applyFont="1" applyBorder="1" applyAlignment="1">
      <alignment horizontal="left" vertical="center" indent="1" readingOrder="1"/>
    </xf>
    <xf numFmtId="164" fontId="18" fillId="0" borderId="1" xfId="0" applyNumberFormat="1" applyFont="1" applyBorder="1" applyAlignment="1">
      <alignment horizontal="right" vertical="center" readingOrder="1"/>
    </xf>
    <xf numFmtId="164" fontId="18" fillId="0" borderId="1" xfId="0" applyNumberFormat="1" applyFont="1" applyBorder="1" applyAlignment="1">
      <alignment horizontal="left" vertical="center" indent="1" readingOrder="1"/>
    </xf>
    <xf numFmtId="164" fontId="1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A233-1808-4ED0-B8E8-EE62668C1893}">
  <sheetPr codeName="Sheet1"/>
  <dimension ref="A1:AA30"/>
  <sheetViews>
    <sheetView workbookViewId="0">
      <selection activeCell="R13" sqref="R13"/>
    </sheetView>
  </sheetViews>
  <sheetFormatPr defaultRowHeight="14.4"/>
  <cols>
    <col min="1" max="1" width="17.33203125" bestFit="1" customWidth="1"/>
    <col min="2" max="5" width="9.88671875" bestFit="1" customWidth="1"/>
    <col min="6" max="6" width="8.77734375" bestFit="1" customWidth="1"/>
    <col min="7" max="11" width="9.88671875" bestFit="1" customWidth="1"/>
    <col min="12" max="12" width="11" bestFit="1" customWidth="1"/>
  </cols>
  <sheetData>
    <row r="1" spans="1:25" ht="15" thickBot="1">
      <c r="A1" s="3" t="s">
        <v>60</v>
      </c>
      <c r="B1" s="3" t="s">
        <v>102</v>
      </c>
      <c r="C1" s="3" t="s">
        <v>103</v>
      </c>
      <c r="D1" s="3" t="s">
        <v>104</v>
      </c>
      <c r="E1" s="3" t="s">
        <v>105</v>
      </c>
      <c r="F1" s="3" t="s">
        <v>106</v>
      </c>
      <c r="G1" s="3" t="s">
        <v>107</v>
      </c>
      <c r="H1" s="3" t="s">
        <v>108</v>
      </c>
      <c r="I1" s="3" t="s">
        <v>109</v>
      </c>
      <c r="J1" s="3" t="s">
        <v>110</v>
      </c>
      <c r="K1" s="3" t="s">
        <v>111</v>
      </c>
      <c r="L1" s="3" t="s">
        <v>112</v>
      </c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</row>
    <row r="2" spans="1:25" ht="15" thickBot="1">
      <c r="A2" s="4" t="s">
        <v>3</v>
      </c>
      <c r="B2" s="5">
        <v>4.6859999999999999</v>
      </c>
      <c r="C2" s="5">
        <v>9.8460000000000001</v>
      </c>
      <c r="D2" s="5">
        <v>15.994</v>
      </c>
      <c r="E2" s="5">
        <v>9.0229999999999997</v>
      </c>
      <c r="F2" s="5">
        <v>8.077</v>
      </c>
      <c r="G2" s="5">
        <v>12.212999999999999</v>
      </c>
      <c r="H2" s="5">
        <v>8.1639999999999997</v>
      </c>
      <c r="I2" s="5">
        <v>13.786</v>
      </c>
      <c r="J2" s="5">
        <v>7.4950000000000001</v>
      </c>
      <c r="K2" s="5">
        <v>13.102</v>
      </c>
      <c r="L2" s="3">
        <v>102.386</v>
      </c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ht="15" thickBot="1">
      <c r="A3" s="4" t="s">
        <v>4</v>
      </c>
      <c r="B3" s="5">
        <v>16.163</v>
      </c>
      <c r="C3" s="5">
        <v>18.422000000000001</v>
      </c>
      <c r="D3" s="5">
        <v>20.018999999999998</v>
      </c>
      <c r="E3" s="5">
        <v>14.446</v>
      </c>
      <c r="F3" s="5">
        <v>11.547000000000001</v>
      </c>
      <c r="G3" s="5">
        <v>23.346</v>
      </c>
      <c r="H3" s="5">
        <v>16.419</v>
      </c>
      <c r="I3" s="5">
        <v>25.068999999999999</v>
      </c>
      <c r="J3" s="5">
        <v>17.553999999999998</v>
      </c>
      <c r="K3" s="5">
        <v>21.533000000000001</v>
      </c>
      <c r="L3" s="3">
        <v>184.518</v>
      </c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</row>
    <row r="4" spans="1:25" ht="15" thickBot="1">
      <c r="A4" s="4" t="s">
        <v>5</v>
      </c>
      <c r="B4" s="5">
        <v>0.45300000000000001</v>
      </c>
      <c r="C4" s="5">
        <v>3.8010000000000002</v>
      </c>
      <c r="D4" s="5">
        <v>2.427</v>
      </c>
      <c r="E4" s="5">
        <v>2.4180000000000001</v>
      </c>
      <c r="F4" s="5">
        <v>4.2910000000000004</v>
      </c>
      <c r="G4" s="5">
        <v>6.7380000000000004</v>
      </c>
      <c r="H4" s="5">
        <v>3.6459999999999999</v>
      </c>
      <c r="I4" s="5">
        <v>3.2610000000000001</v>
      </c>
      <c r="J4" s="5">
        <v>5.1100000000000003</v>
      </c>
      <c r="K4" s="5">
        <v>6.8789999999999996</v>
      </c>
      <c r="L4" s="3">
        <v>39.024000000000001</v>
      </c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</row>
    <row r="5" spans="1:25" ht="15" thickBot="1">
      <c r="A5" s="4" t="s">
        <v>6</v>
      </c>
      <c r="B5" s="5">
        <v>69.293000000000006</v>
      </c>
      <c r="C5" s="5">
        <v>45.506</v>
      </c>
      <c r="D5" s="5">
        <v>39.698999999999998</v>
      </c>
      <c r="E5" s="5">
        <v>38.853999999999999</v>
      </c>
      <c r="F5" s="5">
        <v>12.821</v>
      </c>
      <c r="G5" s="5">
        <v>311.048</v>
      </c>
      <c r="H5" s="5">
        <v>15.766</v>
      </c>
      <c r="I5" s="5">
        <v>15.468999999999999</v>
      </c>
      <c r="J5" s="5">
        <v>15.743</v>
      </c>
      <c r="K5" s="5">
        <v>13.731999999999999</v>
      </c>
      <c r="L5" s="3">
        <v>577.93100000000004</v>
      </c>
      <c r="N5" s="51"/>
      <c r="O5" s="52"/>
      <c r="P5" s="52"/>
      <c r="Q5" s="52"/>
      <c r="R5" s="52"/>
      <c r="S5" s="52"/>
      <c r="T5" s="52"/>
      <c r="U5" s="52"/>
      <c r="V5" s="52"/>
      <c r="W5" s="52"/>
      <c r="X5" s="52"/>
    </row>
    <row r="6" spans="1:25" ht="15" thickBot="1">
      <c r="A6" s="4" t="s">
        <v>18</v>
      </c>
      <c r="B6" s="5">
        <v>17.888999999999999</v>
      </c>
      <c r="C6" s="5">
        <v>8.2159999999999993</v>
      </c>
      <c r="D6" s="5">
        <v>10.055</v>
      </c>
      <c r="E6" s="5">
        <v>17.042000000000002</v>
      </c>
      <c r="F6" s="5">
        <v>22.05</v>
      </c>
      <c r="G6" s="5">
        <v>8.0790000000000006</v>
      </c>
      <c r="H6" s="5">
        <v>21.527000000000001</v>
      </c>
      <c r="I6" s="5">
        <v>21.742000000000001</v>
      </c>
      <c r="J6" s="5">
        <v>20.571999999999999</v>
      </c>
      <c r="K6" s="5">
        <v>22.321000000000002</v>
      </c>
      <c r="L6" s="3">
        <v>169.49299999999999</v>
      </c>
      <c r="N6" s="51"/>
      <c r="O6" s="52"/>
      <c r="P6" s="52"/>
      <c r="Q6" s="52"/>
      <c r="R6" s="52"/>
      <c r="S6" s="52"/>
      <c r="T6" s="52"/>
      <c r="U6" s="52"/>
      <c r="V6" s="52"/>
      <c r="W6" s="52"/>
      <c r="X6" s="52"/>
    </row>
    <row r="7" spans="1:25" ht="15" thickBot="1">
      <c r="A7" s="4" t="s">
        <v>19</v>
      </c>
      <c r="B7" s="5">
        <v>0.314</v>
      </c>
      <c r="C7" s="5">
        <v>0.50800000000000001</v>
      </c>
      <c r="D7" s="5">
        <v>0.91200000000000003</v>
      </c>
      <c r="E7" s="5">
        <v>4.3</v>
      </c>
      <c r="F7" s="5">
        <v>4.0640000000000001</v>
      </c>
      <c r="G7" s="5">
        <v>18.225000000000001</v>
      </c>
      <c r="H7" s="5">
        <v>3.391</v>
      </c>
      <c r="I7" s="5">
        <v>15.092000000000001</v>
      </c>
      <c r="J7" s="5">
        <v>10.82</v>
      </c>
      <c r="K7" s="5">
        <v>7.78</v>
      </c>
      <c r="L7" s="3">
        <v>65.406000000000006</v>
      </c>
      <c r="N7" s="51"/>
      <c r="O7" s="52"/>
      <c r="P7" s="52"/>
      <c r="Q7" s="52"/>
      <c r="R7" s="52"/>
      <c r="S7" s="52"/>
      <c r="T7" s="52"/>
      <c r="U7" s="52"/>
      <c r="V7" s="52"/>
      <c r="W7" s="52"/>
      <c r="X7" s="52"/>
    </row>
    <row r="8" spans="1:25" ht="15" thickBot="1">
      <c r="A8" s="4" t="s">
        <v>65</v>
      </c>
      <c r="B8" s="5">
        <v>37.389000000000003</v>
      </c>
      <c r="C8" s="5">
        <v>17.896000000000001</v>
      </c>
      <c r="D8" s="5">
        <v>30.655000000000001</v>
      </c>
      <c r="E8" s="5">
        <v>17.100999999999999</v>
      </c>
      <c r="F8" s="5">
        <v>11.826000000000001</v>
      </c>
      <c r="G8" s="5">
        <v>15.334</v>
      </c>
      <c r="H8" s="5">
        <v>9.407</v>
      </c>
      <c r="I8" s="5">
        <v>17.904</v>
      </c>
      <c r="J8" s="5">
        <v>12.586</v>
      </c>
      <c r="K8" s="5">
        <v>12.706</v>
      </c>
      <c r="L8" s="3">
        <v>182.804</v>
      </c>
      <c r="N8" s="51"/>
      <c r="O8" s="52"/>
      <c r="P8" s="52"/>
      <c r="Q8" s="52"/>
      <c r="R8" s="52"/>
      <c r="S8" s="52"/>
      <c r="T8" s="52"/>
      <c r="U8" s="52"/>
      <c r="V8" s="52"/>
      <c r="W8" s="52"/>
      <c r="X8" s="52"/>
    </row>
    <row r="9" spans="1:25" ht="15" thickBot="1">
      <c r="A9" s="4" t="s">
        <v>66</v>
      </c>
      <c r="B9" s="5">
        <v>52.470999999999997</v>
      </c>
      <c r="C9" s="5">
        <v>43.017000000000003</v>
      </c>
      <c r="D9" s="5">
        <v>52.78</v>
      </c>
      <c r="E9" s="5">
        <v>44.63</v>
      </c>
      <c r="F9" s="5">
        <v>45.113</v>
      </c>
      <c r="G9" s="5">
        <v>27.843</v>
      </c>
      <c r="H9" s="5">
        <v>70.701999999999998</v>
      </c>
      <c r="I9" s="5">
        <v>19.265000000000001</v>
      </c>
      <c r="J9" s="5">
        <v>22.739000000000001</v>
      </c>
      <c r="K9" s="5">
        <v>20.931000000000001</v>
      </c>
      <c r="L9" s="3">
        <v>399.49099999999999</v>
      </c>
      <c r="N9" s="51"/>
      <c r="O9" s="52"/>
      <c r="P9" s="52"/>
      <c r="Q9" s="52"/>
      <c r="R9" s="52"/>
      <c r="S9" s="52"/>
      <c r="T9" s="52"/>
      <c r="U9" s="52"/>
      <c r="V9" s="52"/>
      <c r="W9" s="52"/>
      <c r="X9" s="52"/>
    </row>
    <row r="10" spans="1:25" ht="15" thickBot="1">
      <c r="A10" s="4" t="s">
        <v>16</v>
      </c>
      <c r="B10" s="5">
        <v>2604.5140000000001</v>
      </c>
      <c r="C10" s="5">
        <v>2643.8969999999999</v>
      </c>
      <c r="D10" s="5">
        <v>2640.4470000000001</v>
      </c>
      <c r="E10" s="5">
        <v>2257.424</v>
      </c>
      <c r="F10" s="5">
        <v>45.825000000000003</v>
      </c>
      <c r="G10" s="5">
        <v>2900.3429999999998</v>
      </c>
      <c r="H10" s="5">
        <v>78.971999999999994</v>
      </c>
      <c r="I10" s="5">
        <v>86.301000000000002</v>
      </c>
      <c r="J10" s="5">
        <v>75.108999999999995</v>
      </c>
      <c r="K10" s="5">
        <v>53.023000000000003</v>
      </c>
      <c r="L10" s="3">
        <v>13385.855</v>
      </c>
      <c r="N10" s="51"/>
      <c r="O10" s="52"/>
      <c r="P10" s="52"/>
      <c r="Q10" s="52"/>
      <c r="R10" s="52"/>
      <c r="S10" s="52"/>
      <c r="T10" s="52"/>
      <c r="U10" s="52"/>
      <c r="V10" s="52"/>
      <c r="W10" s="52"/>
      <c r="X10" s="52"/>
    </row>
    <row r="11" spans="1:25" ht="15" thickBot="1">
      <c r="A11" s="4" t="s">
        <v>64</v>
      </c>
      <c r="B11" s="5">
        <v>125.94199999999999</v>
      </c>
      <c r="C11" s="5">
        <v>154.44900000000001</v>
      </c>
      <c r="D11" s="5">
        <v>287.005</v>
      </c>
      <c r="E11" s="5">
        <v>391.97500000000002</v>
      </c>
      <c r="F11" s="5">
        <v>97.311999999999998</v>
      </c>
      <c r="G11" s="5">
        <v>272.49400000000003</v>
      </c>
      <c r="H11" s="5">
        <v>303.07900000000001</v>
      </c>
      <c r="I11" s="5">
        <v>240.11799999999999</v>
      </c>
      <c r="J11" s="5">
        <v>3193.114</v>
      </c>
      <c r="K11" s="5">
        <v>280.14</v>
      </c>
      <c r="L11" s="3">
        <v>5345.6279999999997</v>
      </c>
      <c r="N11" s="51"/>
      <c r="O11" s="52"/>
      <c r="P11" s="52"/>
      <c r="Q11" s="52"/>
      <c r="R11" s="52"/>
      <c r="S11" s="52"/>
      <c r="T11" s="52"/>
      <c r="U11" s="52"/>
      <c r="V11" s="52"/>
      <c r="W11" s="52"/>
      <c r="X11" s="52"/>
    </row>
    <row r="12" spans="1:25" ht="15" thickBot="1">
      <c r="A12" s="4" t="s">
        <v>15</v>
      </c>
      <c r="B12" s="5">
        <v>2464.7060000000001</v>
      </c>
      <c r="C12" s="5">
        <v>2381.123</v>
      </c>
      <c r="D12" s="5">
        <v>2581.5340000000001</v>
      </c>
      <c r="E12" s="5">
        <v>2131.96</v>
      </c>
      <c r="F12" s="5">
        <v>381.036</v>
      </c>
      <c r="G12" s="5">
        <v>2719.165</v>
      </c>
      <c r="H12" s="5">
        <v>2799.4470000000001</v>
      </c>
      <c r="I12" s="5">
        <v>3116.951</v>
      </c>
      <c r="J12" s="5">
        <v>174.798</v>
      </c>
      <c r="K12" s="5">
        <v>3453.8850000000002</v>
      </c>
      <c r="L12" s="3">
        <v>22204.605</v>
      </c>
      <c r="N12" s="51"/>
      <c r="O12" s="52"/>
      <c r="P12" s="52"/>
      <c r="Q12" s="52"/>
      <c r="R12" s="52"/>
      <c r="S12" s="52"/>
      <c r="T12" s="52"/>
      <c r="U12" s="52"/>
      <c r="V12" s="52"/>
      <c r="W12" s="52"/>
      <c r="X12" s="52"/>
    </row>
    <row r="13" spans="1:25" ht="15" thickBot="1">
      <c r="A13" s="4" t="s">
        <v>67</v>
      </c>
      <c r="B13" s="5">
        <v>60.249000000000002</v>
      </c>
      <c r="C13" s="5">
        <v>41.710999999999999</v>
      </c>
      <c r="D13" s="5">
        <v>32.786000000000001</v>
      </c>
      <c r="E13" s="5">
        <v>18.341000000000001</v>
      </c>
      <c r="F13" s="5">
        <v>17.635999999999999</v>
      </c>
      <c r="G13" s="5">
        <v>46.241999999999997</v>
      </c>
      <c r="H13" s="5">
        <v>42.216000000000001</v>
      </c>
      <c r="I13" s="5">
        <v>32.441000000000003</v>
      </c>
      <c r="J13" s="5">
        <v>14.548999999999999</v>
      </c>
      <c r="K13" s="5">
        <v>21.704999999999998</v>
      </c>
      <c r="L13" s="3">
        <v>327.87599999999998</v>
      </c>
      <c r="N13" s="51"/>
      <c r="O13" s="52"/>
      <c r="P13" s="52"/>
      <c r="Q13" s="52"/>
      <c r="R13" s="52"/>
      <c r="S13" s="52"/>
      <c r="T13" s="52"/>
      <c r="U13" s="52"/>
      <c r="V13" s="52"/>
      <c r="W13" s="52"/>
      <c r="X13" s="52"/>
    </row>
    <row r="14" spans="1:25" ht="15" thickBot="1">
      <c r="A14" s="4" t="s">
        <v>9</v>
      </c>
      <c r="B14" s="5">
        <v>12.529</v>
      </c>
      <c r="C14" s="5">
        <v>15.252000000000001</v>
      </c>
      <c r="D14" s="5">
        <v>18.512</v>
      </c>
      <c r="E14" s="5">
        <v>9.9149999999999991</v>
      </c>
      <c r="F14" s="5">
        <v>34.820999999999998</v>
      </c>
      <c r="G14" s="5">
        <v>35.048999999999999</v>
      </c>
      <c r="H14" s="5">
        <v>18.065999999999999</v>
      </c>
      <c r="I14" s="5">
        <v>15.816000000000001</v>
      </c>
      <c r="J14" s="5">
        <v>0.436</v>
      </c>
      <c r="K14" s="5">
        <v>10.628</v>
      </c>
      <c r="L14" s="3">
        <v>171.024</v>
      </c>
      <c r="N14" s="51"/>
      <c r="O14" s="52"/>
      <c r="P14" s="52"/>
      <c r="Q14" s="52"/>
      <c r="R14" s="52"/>
      <c r="S14" s="52"/>
      <c r="T14" s="52"/>
      <c r="U14" s="52"/>
      <c r="V14" s="52"/>
      <c r="W14" s="52"/>
      <c r="X14" s="52"/>
    </row>
    <row r="15" spans="1:25" ht="15" thickBot="1">
      <c r="A15" s="4" t="s">
        <v>10</v>
      </c>
      <c r="B15" s="5">
        <v>2.5110000000000001</v>
      </c>
      <c r="C15" s="5">
        <v>2.5670000000000002</v>
      </c>
      <c r="D15" s="5">
        <v>3.754</v>
      </c>
      <c r="E15" s="5">
        <v>2.4940000000000002</v>
      </c>
      <c r="F15" s="5">
        <v>19.856000000000002</v>
      </c>
      <c r="G15" s="5">
        <v>4.5960000000000001</v>
      </c>
      <c r="H15" s="5">
        <v>1.8460000000000001</v>
      </c>
      <c r="I15" s="5">
        <v>1.7789999999999999</v>
      </c>
      <c r="J15" s="5">
        <v>0.56799999999999995</v>
      </c>
      <c r="K15" s="5">
        <v>0.437</v>
      </c>
      <c r="L15" s="3">
        <v>40.408000000000001</v>
      </c>
      <c r="N15" s="51"/>
      <c r="O15" s="52"/>
      <c r="P15" s="52"/>
      <c r="Q15" s="52"/>
      <c r="R15" s="52"/>
      <c r="S15" s="52"/>
      <c r="T15" s="52"/>
      <c r="U15" s="52"/>
      <c r="V15" s="52"/>
      <c r="W15" s="52"/>
      <c r="X15" s="52"/>
    </row>
    <row r="16" spans="1:25" ht="15" thickBot="1">
      <c r="A16" s="4" t="s">
        <v>7</v>
      </c>
      <c r="B16" s="5">
        <v>100.979</v>
      </c>
      <c r="C16" s="5">
        <v>50.533000000000001</v>
      </c>
      <c r="D16" s="5">
        <v>91.147000000000006</v>
      </c>
      <c r="E16" s="5">
        <v>82.965000000000003</v>
      </c>
      <c r="F16" s="5">
        <v>1.8520000000000001</v>
      </c>
      <c r="G16" s="5">
        <v>69.423000000000002</v>
      </c>
      <c r="H16" s="5">
        <v>43.76</v>
      </c>
      <c r="I16" s="5">
        <v>37.448</v>
      </c>
      <c r="J16" s="5">
        <v>2.1999999999999999E-2</v>
      </c>
      <c r="K16" s="5">
        <v>46.527000000000001</v>
      </c>
      <c r="L16" s="3">
        <v>524.65599999999995</v>
      </c>
      <c r="N16" s="51"/>
      <c r="O16" s="52"/>
      <c r="P16" s="52"/>
      <c r="Q16" s="52"/>
      <c r="R16" s="52"/>
      <c r="S16" s="52"/>
      <c r="T16" s="52"/>
      <c r="U16" s="52"/>
      <c r="V16" s="52"/>
      <c r="W16" s="52"/>
      <c r="X16" s="52"/>
    </row>
    <row r="17" spans="1:27" ht="15" thickBot="1">
      <c r="A17" s="4" t="s">
        <v>68</v>
      </c>
      <c r="B17" s="5">
        <v>0.03</v>
      </c>
      <c r="C17" s="5">
        <v>7.0000000000000007E-2</v>
      </c>
      <c r="D17" s="5">
        <v>8.4000000000000005E-2</v>
      </c>
      <c r="E17" s="5">
        <v>6.6000000000000003E-2</v>
      </c>
      <c r="F17" s="5">
        <v>55.777999999999999</v>
      </c>
      <c r="G17" s="5">
        <v>2.7E-2</v>
      </c>
      <c r="H17" s="5">
        <v>6.4000000000000001E-2</v>
      </c>
      <c r="I17" s="5">
        <v>2.5999999999999999E-2</v>
      </c>
      <c r="J17" s="5">
        <v>0</v>
      </c>
      <c r="K17" s="5">
        <v>1.2999999999999999E-2</v>
      </c>
      <c r="L17" s="3">
        <v>56.158000000000001</v>
      </c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</row>
    <row r="18" spans="1:27" ht="15" thickBot="1">
      <c r="A18" s="4" t="s">
        <v>12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3">
        <v>0</v>
      </c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</row>
    <row r="19" spans="1:27"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</row>
    <row r="20" spans="1:27"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 spans="1:27"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</row>
    <row r="22" spans="1:27"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</row>
    <row r="23" spans="1:27"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</row>
    <row r="24" spans="1:27"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</row>
    <row r="25" spans="1:27"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</row>
    <row r="26" spans="1:27"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</row>
    <row r="27" spans="1:27"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</row>
    <row r="28" spans="1:27"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</row>
    <row r="29" spans="1:27"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</row>
    <row r="30" spans="1:27"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FEEAC-060C-468F-8B42-525216A5F0E5}">
  <dimension ref="A1:AA30"/>
  <sheetViews>
    <sheetView workbookViewId="0">
      <selection activeCell="G22" sqref="G22"/>
    </sheetView>
  </sheetViews>
  <sheetFormatPr defaultRowHeight="14.4"/>
  <cols>
    <col min="1" max="1" width="17.33203125" bestFit="1" customWidth="1"/>
    <col min="2" max="5" width="9.88671875" bestFit="1" customWidth="1"/>
    <col min="6" max="6" width="8.77734375" bestFit="1" customWidth="1"/>
    <col min="7" max="11" width="9.88671875" bestFit="1" customWidth="1"/>
    <col min="12" max="12" width="11" bestFit="1" customWidth="1"/>
  </cols>
  <sheetData>
    <row r="1" spans="1:25" ht="15" thickBot="1">
      <c r="A1" s="3" t="s">
        <v>60</v>
      </c>
      <c r="B1" s="3" t="s">
        <v>102</v>
      </c>
      <c r="C1" s="3" t="s">
        <v>103</v>
      </c>
      <c r="D1" s="3" t="s">
        <v>104</v>
      </c>
      <c r="E1" s="3" t="s">
        <v>105</v>
      </c>
      <c r="F1" s="3" t="s">
        <v>106</v>
      </c>
      <c r="G1" s="3" t="s">
        <v>107</v>
      </c>
      <c r="H1" s="3" t="s">
        <v>108</v>
      </c>
      <c r="I1" s="3" t="s">
        <v>109</v>
      </c>
      <c r="J1" s="3" t="s">
        <v>110</v>
      </c>
      <c r="K1" s="3" t="s">
        <v>111</v>
      </c>
      <c r="L1" s="3" t="s">
        <v>112</v>
      </c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</row>
    <row r="2" spans="1:25" ht="15" thickBot="1">
      <c r="A2" s="4" t="s">
        <v>3</v>
      </c>
      <c r="B2" s="5">
        <v>4.6859999999999999</v>
      </c>
      <c r="C2" s="5">
        <v>9.8460000000000001</v>
      </c>
      <c r="D2" s="5">
        <v>15.994</v>
      </c>
      <c r="E2" s="5">
        <v>9.0229999999999997</v>
      </c>
      <c r="F2" s="5">
        <v>8.077</v>
      </c>
      <c r="G2" s="5">
        <v>12.212999999999999</v>
      </c>
      <c r="H2" s="5">
        <v>8.1639999999999997</v>
      </c>
      <c r="I2" s="5">
        <v>13.786</v>
      </c>
      <c r="J2" s="5">
        <v>7.4950000000000001</v>
      </c>
      <c r="K2" s="5">
        <v>13.102</v>
      </c>
      <c r="L2" s="3">
        <v>102.386</v>
      </c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ht="15" thickBot="1">
      <c r="A3" s="4" t="s">
        <v>4</v>
      </c>
      <c r="B3" s="5">
        <v>16.163</v>
      </c>
      <c r="C3" s="5">
        <v>18.422000000000001</v>
      </c>
      <c r="D3" s="5">
        <v>20.018999999999998</v>
      </c>
      <c r="E3" s="5">
        <v>14.446</v>
      </c>
      <c r="F3" s="5">
        <v>11.547000000000001</v>
      </c>
      <c r="G3" s="5">
        <v>23.346</v>
      </c>
      <c r="H3" s="5">
        <v>16.419</v>
      </c>
      <c r="I3" s="5">
        <v>25.068999999999999</v>
      </c>
      <c r="J3" s="5">
        <v>17.553999999999998</v>
      </c>
      <c r="K3" s="5">
        <v>21.533000000000001</v>
      </c>
      <c r="L3" s="3">
        <v>184.518</v>
      </c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</row>
    <row r="4" spans="1:25" ht="15" thickBot="1">
      <c r="A4" s="4" t="s">
        <v>5</v>
      </c>
      <c r="B4" s="5">
        <v>0.45300000000000001</v>
      </c>
      <c r="C4" s="5">
        <v>3.8010000000000002</v>
      </c>
      <c r="D4" s="5">
        <v>2.427</v>
      </c>
      <c r="E4" s="5">
        <v>2.4180000000000001</v>
      </c>
      <c r="F4" s="5">
        <v>4.2910000000000004</v>
      </c>
      <c r="G4" s="5">
        <v>6.7380000000000004</v>
      </c>
      <c r="H4" s="5">
        <v>3.6459999999999999</v>
      </c>
      <c r="I4" s="5">
        <v>3.2610000000000001</v>
      </c>
      <c r="J4" s="5">
        <v>5.1100000000000003</v>
      </c>
      <c r="K4" s="5">
        <v>6.8789999999999996</v>
      </c>
      <c r="L4" s="3">
        <v>39.024000000000001</v>
      </c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</row>
    <row r="5" spans="1:25" ht="15" thickBot="1">
      <c r="A5" s="4" t="s">
        <v>6</v>
      </c>
      <c r="B5" s="5">
        <v>69.293000000000006</v>
      </c>
      <c r="C5" s="5">
        <v>45.506</v>
      </c>
      <c r="D5" s="5">
        <v>39.698999999999998</v>
      </c>
      <c r="E5" s="5">
        <v>38.853999999999999</v>
      </c>
      <c r="F5" s="5">
        <v>12.821</v>
      </c>
      <c r="G5" s="5">
        <v>311.048</v>
      </c>
      <c r="H5" s="5">
        <v>15.766</v>
      </c>
      <c r="I5" s="5">
        <v>15.468999999999999</v>
      </c>
      <c r="J5" s="5">
        <v>15.743</v>
      </c>
      <c r="K5" s="5">
        <v>13.731999999999999</v>
      </c>
      <c r="L5" s="3">
        <v>577.93100000000004</v>
      </c>
      <c r="N5" s="51"/>
      <c r="O5" s="52"/>
      <c r="P5" s="52"/>
      <c r="Q5" s="52"/>
      <c r="R5" s="52"/>
      <c r="S5" s="52"/>
      <c r="T5" s="52"/>
      <c r="U5" s="52"/>
      <c r="V5" s="52"/>
      <c r="W5" s="52"/>
      <c r="X5" s="52"/>
    </row>
    <row r="6" spans="1:25" ht="15" thickBot="1">
      <c r="A6" s="4" t="s">
        <v>18</v>
      </c>
      <c r="B6" s="5">
        <v>17.888999999999999</v>
      </c>
      <c r="C6" s="5">
        <v>8.2159999999999993</v>
      </c>
      <c r="D6" s="5">
        <v>10.055</v>
      </c>
      <c r="E6" s="5">
        <v>17.042000000000002</v>
      </c>
      <c r="F6" s="5">
        <v>22.05</v>
      </c>
      <c r="G6" s="5">
        <v>8.0790000000000006</v>
      </c>
      <c r="H6" s="5">
        <v>21.527000000000001</v>
      </c>
      <c r="I6" s="5">
        <v>21.742000000000001</v>
      </c>
      <c r="J6" s="5">
        <v>20.571999999999999</v>
      </c>
      <c r="K6" s="5">
        <v>22.321000000000002</v>
      </c>
      <c r="L6" s="3">
        <v>169.49299999999999</v>
      </c>
      <c r="N6" s="51"/>
      <c r="O6" s="52"/>
      <c r="P6" s="52"/>
      <c r="Q6" s="52"/>
      <c r="R6" s="52"/>
      <c r="S6" s="52"/>
      <c r="T6" s="52"/>
      <c r="U6" s="52"/>
      <c r="V6" s="52"/>
      <c r="W6" s="52"/>
      <c r="X6" s="52"/>
    </row>
    <row r="7" spans="1:25" ht="15" thickBot="1">
      <c r="A7" s="4" t="s">
        <v>19</v>
      </c>
      <c r="B7" s="5">
        <v>0.314</v>
      </c>
      <c r="C7" s="5">
        <v>0.50800000000000001</v>
      </c>
      <c r="D7" s="5">
        <v>0.91200000000000003</v>
      </c>
      <c r="E7" s="5">
        <v>4.3</v>
      </c>
      <c r="F7" s="5">
        <v>4.0640000000000001</v>
      </c>
      <c r="G7" s="5">
        <v>18.225000000000001</v>
      </c>
      <c r="H7" s="5">
        <v>3.391</v>
      </c>
      <c r="I7" s="5">
        <v>15.092000000000001</v>
      </c>
      <c r="J7" s="5">
        <v>10.82</v>
      </c>
      <c r="K7" s="5">
        <v>7.78</v>
      </c>
      <c r="L7" s="3">
        <v>65.406000000000006</v>
      </c>
      <c r="N7" s="51"/>
      <c r="O7" s="52"/>
      <c r="P7" s="52"/>
      <c r="Q7" s="52"/>
      <c r="R7" s="52"/>
      <c r="S7" s="52"/>
      <c r="T7" s="52"/>
      <c r="U7" s="52"/>
      <c r="V7" s="52"/>
      <c r="W7" s="52"/>
      <c r="X7" s="52"/>
    </row>
    <row r="8" spans="1:25" ht="15" thickBot="1">
      <c r="A8" s="4" t="s">
        <v>65</v>
      </c>
      <c r="B8" s="5">
        <v>37.389000000000003</v>
      </c>
      <c r="C8" s="5">
        <v>17.896000000000001</v>
      </c>
      <c r="D8" s="5">
        <v>30.655000000000001</v>
      </c>
      <c r="E8" s="5">
        <v>17.100999999999999</v>
      </c>
      <c r="F8" s="5">
        <v>11.826000000000001</v>
      </c>
      <c r="G8" s="5">
        <v>15.334</v>
      </c>
      <c r="H8" s="5">
        <v>9.407</v>
      </c>
      <c r="I8" s="5">
        <v>17.904</v>
      </c>
      <c r="J8" s="5">
        <v>12.586</v>
      </c>
      <c r="K8" s="5">
        <v>12.706</v>
      </c>
      <c r="L8" s="3">
        <v>182.804</v>
      </c>
      <c r="N8" s="51"/>
      <c r="O8" s="52"/>
      <c r="P8" s="52"/>
      <c r="Q8" s="52"/>
      <c r="R8" s="52"/>
      <c r="S8" s="52"/>
      <c r="T8" s="52"/>
      <c r="U8" s="52"/>
      <c r="V8" s="52"/>
      <c r="W8" s="52"/>
      <c r="X8" s="52"/>
    </row>
    <row r="9" spans="1:25" ht="15" thickBot="1">
      <c r="A9" s="4" t="s">
        <v>66</v>
      </c>
      <c r="B9" s="5">
        <v>52.470999999999997</v>
      </c>
      <c r="C9" s="5">
        <v>43.017000000000003</v>
      </c>
      <c r="D9" s="5">
        <v>52.78</v>
      </c>
      <c r="E9" s="5">
        <v>44.63</v>
      </c>
      <c r="F9" s="5">
        <v>45.113</v>
      </c>
      <c r="G9" s="5">
        <v>27.843</v>
      </c>
      <c r="H9" s="5">
        <v>70.701999999999998</v>
      </c>
      <c r="I9" s="5">
        <v>19.265000000000001</v>
      </c>
      <c r="J9" s="5">
        <v>22.739000000000001</v>
      </c>
      <c r="K9" s="5">
        <v>20.931000000000001</v>
      </c>
      <c r="L9" s="3">
        <v>399.49099999999999</v>
      </c>
      <c r="N9" s="51"/>
      <c r="O9" s="52"/>
      <c r="P9" s="52"/>
      <c r="Q9" s="52"/>
      <c r="R9" s="52"/>
      <c r="S9" s="52"/>
      <c r="T9" s="52"/>
      <c r="U9" s="52"/>
      <c r="V9" s="52"/>
      <c r="W9" s="52"/>
      <c r="X9" s="52"/>
    </row>
    <row r="10" spans="1:25" ht="15" thickBot="1">
      <c r="A10" s="4" t="s">
        <v>16</v>
      </c>
      <c r="B10" s="5">
        <v>2604.5140000000001</v>
      </c>
      <c r="C10" s="5">
        <v>2643.8969999999999</v>
      </c>
      <c r="D10" s="5">
        <v>2640.4470000000001</v>
      </c>
      <c r="E10" s="5">
        <v>2257.424</v>
      </c>
      <c r="F10" s="5">
        <v>45.825000000000003</v>
      </c>
      <c r="G10" s="5">
        <v>2900.3429999999998</v>
      </c>
      <c r="H10" s="5">
        <v>78.971999999999994</v>
      </c>
      <c r="I10" s="5">
        <v>86.301000000000002</v>
      </c>
      <c r="J10" s="5">
        <v>75.108999999999995</v>
      </c>
      <c r="K10" s="5">
        <v>53.023000000000003</v>
      </c>
      <c r="L10" s="3">
        <v>13385.855</v>
      </c>
      <c r="N10" s="51"/>
      <c r="O10" s="52"/>
      <c r="P10" s="52"/>
      <c r="Q10" s="52"/>
      <c r="R10" s="52"/>
      <c r="S10" s="52"/>
      <c r="T10" s="52"/>
      <c r="U10" s="52"/>
      <c r="V10" s="52"/>
      <c r="W10" s="52"/>
      <c r="X10" s="52"/>
    </row>
    <row r="11" spans="1:25" ht="15" thickBot="1">
      <c r="A11" s="4" t="s">
        <v>64</v>
      </c>
      <c r="B11" s="5">
        <v>125.94199999999999</v>
      </c>
      <c r="C11" s="5">
        <v>154.44900000000001</v>
      </c>
      <c r="D11" s="5">
        <v>287.005</v>
      </c>
      <c r="E11" s="5">
        <v>391.97500000000002</v>
      </c>
      <c r="F11" s="5">
        <v>97.311999999999998</v>
      </c>
      <c r="G11" s="5">
        <v>272.49400000000003</v>
      </c>
      <c r="H11" s="5">
        <v>303.07900000000001</v>
      </c>
      <c r="I11" s="5">
        <v>240.11799999999999</v>
      </c>
      <c r="J11" s="5">
        <v>3193.114</v>
      </c>
      <c r="K11" s="5">
        <v>280.14</v>
      </c>
      <c r="L11" s="3">
        <v>5345.6279999999997</v>
      </c>
      <c r="N11" s="51"/>
      <c r="O11" s="52"/>
      <c r="P11" s="52"/>
      <c r="Q11" s="52"/>
      <c r="R11" s="52"/>
      <c r="S11" s="52"/>
      <c r="T11" s="52"/>
      <c r="U11" s="52"/>
      <c r="V11" s="52"/>
      <c r="W11" s="52"/>
      <c r="X11" s="52"/>
    </row>
    <row r="12" spans="1:25" ht="15" thickBot="1">
      <c r="A12" s="4" t="s">
        <v>15</v>
      </c>
      <c r="B12" s="5">
        <v>2464.7060000000001</v>
      </c>
      <c r="C12" s="5">
        <v>2381.123</v>
      </c>
      <c r="D12" s="5">
        <v>2581.5340000000001</v>
      </c>
      <c r="E12" s="5">
        <v>2131.96</v>
      </c>
      <c r="F12" s="5">
        <v>381.036</v>
      </c>
      <c r="G12" s="5">
        <v>2719.165</v>
      </c>
      <c r="H12" s="5">
        <v>2799.4470000000001</v>
      </c>
      <c r="I12" s="5">
        <v>3116.951</v>
      </c>
      <c r="J12" s="5">
        <v>174.798</v>
      </c>
      <c r="K12" s="5">
        <v>3453.8850000000002</v>
      </c>
      <c r="L12" s="3">
        <v>22204.605</v>
      </c>
      <c r="N12" s="51"/>
      <c r="O12" s="52"/>
      <c r="P12" s="52"/>
      <c r="Q12" s="52"/>
      <c r="R12" s="52"/>
      <c r="S12" s="52"/>
      <c r="T12" s="52"/>
      <c r="U12" s="52"/>
      <c r="V12" s="52"/>
      <c r="W12" s="52"/>
      <c r="X12" s="52"/>
    </row>
    <row r="13" spans="1:25" ht="15" thickBot="1">
      <c r="A13" s="4" t="s">
        <v>67</v>
      </c>
      <c r="B13" s="5">
        <v>60.249000000000002</v>
      </c>
      <c r="C13" s="5">
        <v>41.710999999999999</v>
      </c>
      <c r="D13" s="5">
        <v>32.786000000000001</v>
      </c>
      <c r="E13" s="5">
        <v>18.341000000000001</v>
      </c>
      <c r="F13" s="5">
        <v>17.635999999999999</v>
      </c>
      <c r="G13" s="5">
        <v>46.241999999999997</v>
      </c>
      <c r="H13" s="5">
        <v>42.216000000000001</v>
      </c>
      <c r="I13" s="5">
        <v>32.441000000000003</v>
      </c>
      <c r="J13" s="5">
        <v>14.548999999999999</v>
      </c>
      <c r="K13" s="5">
        <v>21.704999999999998</v>
      </c>
      <c r="L13" s="3">
        <v>327.87599999999998</v>
      </c>
      <c r="N13" s="51"/>
      <c r="O13" s="52"/>
      <c r="P13" s="52"/>
      <c r="Q13" s="52"/>
      <c r="R13" s="52"/>
      <c r="S13" s="52"/>
      <c r="T13" s="52"/>
      <c r="U13" s="52"/>
      <c r="V13" s="52"/>
      <c r="W13" s="52"/>
      <c r="X13" s="52"/>
    </row>
    <row r="14" spans="1:25" ht="15" thickBot="1">
      <c r="A14" s="4" t="s">
        <v>9</v>
      </c>
      <c r="B14" s="5">
        <v>12.529</v>
      </c>
      <c r="C14" s="5">
        <v>15.252000000000001</v>
      </c>
      <c r="D14" s="5">
        <v>18.512</v>
      </c>
      <c r="E14" s="5">
        <v>9.9149999999999991</v>
      </c>
      <c r="F14" s="5">
        <v>34.820999999999998</v>
      </c>
      <c r="G14" s="5">
        <v>35.048999999999999</v>
      </c>
      <c r="H14" s="5">
        <v>18.065999999999999</v>
      </c>
      <c r="I14" s="5">
        <v>15.816000000000001</v>
      </c>
      <c r="J14" s="5">
        <v>0.436</v>
      </c>
      <c r="K14" s="5">
        <v>10.628</v>
      </c>
      <c r="L14" s="3">
        <v>171.024</v>
      </c>
      <c r="N14" s="51"/>
      <c r="O14" s="52"/>
      <c r="P14" s="52"/>
      <c r="Q14" s="52"/>
      <c r="R14" s="52"/>
      <c r="S14" s="52"/>
      <c r="T14" s="52"/>
      <c r="U14" s="52"/>
      <c r="V14" s="52"/>
      <c r="W14" s="52"/>
      <c r="X14" s="52"/>
    </row>
    <row r="15" spans="1:25" ht="15" thickBot="1">
      <c r="A15" s="4" t="s">
        <v>10</v>
      </c>
      <c r="B15" s="5">
        <v>2.5110000000000001</v>
      </c>
      <c r="C15" s="5">
        <v>2.5670000000000002</v>
      </c>
      <c r="D15" s="5">
        <v>3.754</v>
      </c>
      <c r="E15" s="5">
        <v>2.4940000000000002</v>
      </c>
      <c r="F15" s="5">
        <v>19.856000000000002</v>
      </c>
      <c r="G15" s="5">
        <v>4.5960000000000001</v>
      </c>
      <c r="H15" s="5">
        <v>1.8460000000000001</v>
      </c>
      <c r="I15" s="5">
        <v>1.7789999999999999</v>
      </c>
      <c r="J15" s="5">
        <v>0.56799999999999995</v>
      </c>
      <c r="K15" s="5">
        <v>0.437</v>
      </c>
      <c r="L15" s="3">
        <v>40.408000000000001</v>
      </c>
      <c r="N15" s="51"/>
      <c r="O15" s="52"/>
      <c r="P15" s="52"/>
      <c r="Q15" s="52"/>
      <c r="R15" s="52"/>
      <c r="S15" s="52"/>
      <c r="T15" s="52"/>
      <c r="U15" s="52"/>
      <c r="V15" s="52"/>
      <c r="W15" s="52"/>
      <c r="X15" s="52"/>
    </row>
    <row r="16" spans="1:25" ht="15" thickBot="1">
      <c r="A16" s="4" t="s">
        <v>7</v>
      </c>
      <c r="B16" s="5">
        <v>100.979</v>
      </c>
      <c r="C16" s="5">
        <v>50.533000000000001</v>
      </c>
      <c r="D16" s="5">
        <v>91.147000000000006</v>
      </c>
      <c r="E16" s="5">
        <v>82.965000000000003</v>
      </c>
      <c r="F16" s="5">
        <v>1.8520000000000001</v>
      </c>
      <c r="G16" s="5">
        <v>69.423000000000002</v>
      </c>
      <c r="H16" s="5">
        <v>43.76</v>
      </c>
      <c r="I16" s="5">
        <v>37.448</v>
      </c>
      <c r="J16" s="5">
        <v>2.1999999999999999E-2</v>
      </c>
      <c r="K16" s="5">
        <v>46.527000000000001</v>
      </c>
      <c r="L16" s="3">
        <v>524.65599999999995</v>
      </c>
      <c r="N16" s="51"/>
      <c r="O16" s="52"/>
      <c r="P16" s="52"/>
      <c r="Q16" s="52"/>
      <c r="R16" s="52"/>
      <c r="S16" s="52"/>
      <c r="T16" s="52"/>
      <c r="U16" s="52"/>
      <c r="V16" s="52"/>
      <c r="W16" s="52"/>
      <c r="X16" s="52"/>
    </row>
    <row r="17" spans="1:27" ht="15" thickBot="1">
      <c r="A17" s="4" t="s">
        <v>68</v>
      </c>
      <c r="B17" s="5">
        <v>0.03</v>
      </c>
      <c r="C17" s="5">
        <v>7.0000000000000007E-2</v>
      </c>
      <c r="D17" s="5">
        <v>8.4000000000000005E-2</v>
      </c>
      <c r="E17" s="5">
        <v>6.6000000000000003E-2</v>
      </c>
      <c r="F17" s="5">
        <v>55.777999999999999</v>
      </c>
      <c r="G17" s="5">
        <v>2.7E-2</v>
      </c>
      <c r="H17" s="5">
        <v>6.4000000000000001E-2</v>
      </c>
      <c r="I17" s="5">
        <v>2.5999999999999999E-2</v>
      </c>
      <c r="J17" s="5">
        <v>0</v>
      </c>
      <c r="K17" s="5">
        <v>1.2999999999999999E-2</v>
      </c>
      <c r="L17" s="3">
        <v>56.158000000000001</v>
      </c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</row>
    <row r="18" spans="1:27" ht="15" thickBot="1">
      <c r="A18" s="4" t="s">
        <v>12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3">
        <v>0</v>
      </c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</row>
    <row r="19" spans="1:27"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</row>
    <row r="20" spans="1:27"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 spans="1:27"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</row>
    <row r="22" spans="1:27"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</row>
    <row r="23" spans="1:27"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</row>
    <row r="24" spans="1:27"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</row>
    <row r="25" spans="1:27"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</row>
    <row r="26" spans="1:27"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</row>
    <row r="27" spans="1:27"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</row>
    <row r="28" spans="1:27"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</row>
    <row r="29" spans="1:27"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</row>
    <row r="30" spans="1:27"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7758-4989-43FD-A7DF-16C6FA3E4C9F}">
  <sheetPr codeName="Sheet2"/>
  <dimension ref="A1:M18"/>
  <sheetViews>
    <sheetView workbookViewId="0">
      <selection activeCell="N8" sqref="N8"/>
    </sheetView>
  </sheetViews>
  <sheetFormatPr defaultRowHeight="14.4"/>
  <cols>
    <col min="1" max="1" width="18.77734375" bestFit="1" customWidth="1"/>
    <col min="2" max="5" width="10.6640625" bestFit="1" customWidth="1"/>
    <col min="6" max="6" width="9.5546875" bestFit="1" customWidth="1"/>
    <col min="7" max="9" width="10.6640625" bestFit="1" customWidth="1"/>
    <col min="10" max="10" width="9.5546875" bestFit="1" customWidth="1"/>
    <col min="11" max="11" width="10.6640625" bestFit="1" customWidth="1"/>
    <col min="12" max="12" width="21.77734375" bestFit="1" customWidth="1"/>
  </cols>
  <sheetData>
    <row r="1" spans="1:13" ht="15" thickBot="1">
      <c r="A1" s="3" t="s">
        <v>60</v>
      </c>
      <c r="B1" s="3" t="s">
        <v>102</v>
      </c>
      <c r="C1" s="3" t="s">
        <v>103</v>
      </c>
      <c r="D1" s="3" t="s">
        <v>104</v>
      </c>
      <c r="E1" s="3" t="s">
        <v>105</v>
      </c>
      <c r="F1" s="3" t="s">
        <v>106</v>
      </c>
      <c r="G1" s="3" t="s">
        <v>107</v>
      </c>
      <c r="H1" s="3" t="s">
        <v>108</v>
      </c>
      <c r="I1" s="3" t="s">
        <v>109</v>
      </c>
      <c r="J1" s="3" t="s">
        <v>110</v>
      </c>
      <c r="K1" s="3" t="s">
        <v>111</v>
      </c>
      <c r="L1" s="3" t="s">
        <v>113</v>
      </c>
      <c r="M1" s="3"/>
    </row>
    <row r="2" spans="1:13" ht="15" thickBot="1">
      <c r="A2" s="53" t="s">
        <v>3</v>
      </c>
      <c r="B2" s="2">
        <v>7.6529999999999996</v>
      </c>
      <c r="C2" s="2">
        <v>16.079000000000001</v>
      </c>
      <c r="D2" s="2">
        <v>26.12</v>
      </c>
      <c r="E2" s="2">
        <v>14.734999999999999</v>
      </c>
      <c r="F2" s="2">
        <v>13.19</v>
      </c>
      <c r="G2" s="2">
        <v>19.945</v>
      </c>
      <c r="H2" s="2">
        <v>13.332000000000001</v>
      </c>
      <c r="I2" s="2">
        <v>22.513999999999999</v>
      </c>
      <c r="J2" s="2">
        <v>12.24</v>
      </c>
      <c r="K2" s="2">
        <v>21.396999999999998</v>
      </c>
      <c r="L2" s="1">
        <v>167.20500000000001</v>
      </c>
    </row>
    <row r="3" spans="1:13" ht="15" thickBot="1">
      <c r="A3" s="53" t="s">
        <v>4</v>
      </c>
      <c r="B3" s="2">
        <v>24.681000000000001</v>
      </c>
      <c r="C3" s="2">
        <v>28.131</v>
      </c>
      <c r="D3" s="2">
        <v>30.57</v>
      </c>
      <c r="E3" s="2">
        <v>22.059000000000001</v>
      </c>
      <c r="F3" s="2">
        <v>17.632000000000001</v>
      </c>
      <c r="G3" s="2">
        <v>35.65</v>
      </c>
      <c r="H3" s="2">
        <v>25.071999999999999</v>
      </c>
      <c r="I3" s="2">
        <v>38.280999999999999</v>
      </c>
      <c r="J3" s="2">
        <v>26.805</v>
      </c>
      <c r="K3" s="2">
        <v>32.887999999999998</v>
      </c>
      <c r="L3" s="1">
        <v>281.76900000000001</v>
      </c>
    </row>
    <row r="4" spans="1:13" ht="15" thickBot="1">
      <c r="A4" s="53" t="s">
        <v>5</v>
      </c>
      <c r="B4" s="2">
        <v>0.94499999999999995</v>
      </c>
      <c r="C4" s="2">
        <v>7.93</v>
      </c>
      <c r="D4" s="2">
        <v>5.0640000000000001</v>
      </c>
      <c r="E4" s="2">
        <v>5.0449999999999999</v>
      </c>
      <c r="F4" s="2">
        <v>8.952</v>
      </c>
      <c r="G4" s="2">
        <v>14.058</v>
      </c>
      <c r="H4" s="2">
        <v>7.6070000000000002</v>
      </c>
      <c r="I4" s="2">
        <v>6.8040000000000003</v>
      </c>
      <c r="J4" s="2">
        <v>10.662000000000001</v>
      </c>
      <c r="K4" s="2">
        <v>14.356999999999999</v>
      </c>
      <c r="L4" s="1">
        <v>81.424000000000007</v>
      </c>
    </row>
    <row r="5" spans="1:13" ht="15" thickBot="1">
      <c r="A5" s="53" t="s">
        <v>6</v>
      </c>
      <c r="B5" s="2">
        <v>82.316000000000003</v>
      </c>
      <c r="C5" s="2">
        <v>54.058</v>
      </c>
      <c r="D5" s="2">
        <v>47.16</v>
      </c>
      <c r="E5" s="2">
        <v>46.155999999999999</v>
      </c>
      <c r="F5" s="2">
        <v>15.23</v>
      </c>
      <c r="G5" s="2">
        <v>369.505</v>
      </c>
      <c r="H5" s="2">
        <v>18.728999999999999</v>
      </c>
      <c r="I5" s="2">
        <v>18.376000000000001</v>
      </c>
      <c r="J5" s="2">
        <v>18.702000000000002</v>
      </c>
      <c r="K5" s="2">
        <v>16.312999999999999</v>
      </c>
      <c r="L5" s="1">
        <v>686.49300000000005</v>
      </c>
    </row>
    <row r="6" spans="1:13" ht="15" thickBot="1">
      <c r="A6" s="53" t="s">
        <v>18</v>
      </c>
      <c r="B6" s="2">
        <v>44.636000000000003</v>
      </c>
      <c r="C6" s="2">
        <v>20.5</v>
      </c>
      <c r="D6" s="2">
        <v>25.088999999999999</v>
      </c>
      <c r="E6" s="2">
        <v>42.523000000000003</v>
      </c>
      <c r="F6" s="2">
        <v>55.018999999999998</v>
      </c>
      <c r="G6" s="2">
        <v>20.158000000000001</v>
      </c>
      <c r="H6" s="2">
        <v>53.713999999999999</v>
      </c>
      <c r="I6" s="2">
        <v>54.25</v>
      </c>
      <c r="J6" s="2">
        <v>51.331000000000003</v>
      </c>
      <c r="K6" s="2">
        <v>55.695</v>
      </c>
      <c r="L6" s="1">
        <v>422.93299999999999</v>
      </c>
    </row>
    <row r="7" spans="1:13" ht="15" thickBot="1">
      <c r="A7" s="53" t="s">
        <v>19</v>
      </c>
      <c r="B7" s="2">
        <v>0.312</v>
      </c>
      <c r="C7" s="2">
        <v>0.505</v>
      </c>
      <c r="D7" s="2">
        <v>0.90700000000000003</v>
      </c>
      <c r="E7" s="2">
        <v>4.2789999999999999</v>
      </c>
      <c r="F7" s="2">
        <v>4.0439999999999996</v>
      </c>
      <c r="G7" s="2">
        <v>18.135999999999999</v>
      </c>
      <c r="H7" s="2">
        <v>3.3740000000000001</v>
      </c>
      <c r="I7" s="2">
        <v>15.018000000000001</v>
      </c>
      <c r="J7" s="2">
        <v>10.766999999999999</v>
      </c>
      <c r="K7" s="2">
        <v>7.742</v>
      </c>
      <c r="L7" s="1">
        <v>65.084999999999994</v>
      </c>
    </row>
    <row r="8" spans="1:13" ht="15" thickBot="1">
      <c r="A8" s="53" t="s">
        <v>65</v>
      </c>
      <c r="B8" s="2">
        <v>64.647000000000006</v>
      </c>
      <c r="C8" s="2">
        <v>30.943000000000001</v>
      </c>
      <c r="D8" s="2">
        <v>53.003</v>
      </c>
      <c r="E8" s="2">
        <v>29.568000000000001</v>
      </c>
      <c r="F8" s="2">
        <v>20.448</v>
      </c>
      <c r="G8" s="2">
        <v>26.513000000000002</v>
      </c>
      <c r="H8" s="2">
        <v>16.265000000000001</v>
      </c>
      <c r="I8" s="2">
        <v>30.957000000000001</v>
      </c>
      <c r="J8" s="2">
        <v>21.762</v>
      </c>
      <c r="K8" s="2">
        <v>21.969000000000001</v>
      </c>
      <c r="L8" s="1">
        <v>316.12200000000001</v>
      </c>
    </row>
    <row r="9" spans="1:13" ht="15" thickBot="1">
      <c r="A9" s="53" t="s">
        <v>66</v>
      </c>
      <c r="B9" s="2">
        <v>144.34899999999999</v>
      </c>
      <c r="C9" s="2">
        <v>118.34099999999999</v>
      </c>
      <c r="D9" s="2">
        <v>145.19900000000001</v>
      </c>
      <c r="E9" s="2">
        <v>122.77800000000001</v>
      </c>
      <c r="F9" s="2">
        <v>124.107</v>
      </c>
      <c r="G9" s="2">
        <v>76.596999999999994</v>
      </c>
      <c r="H9" s="2">
        <v>194.50299999999999</v>
      </c>
      <c r="I9" s="2">
        <v>53</v>
      </c>
      <c r="J9" s="2">
        <v>62.555999999999997</v>
      </c>
      <c r="K9" s="2">
        <v>57.581000000000003</v>
      </c>
      <c r="L9" s="1">
        <v>1098.963</v>
      </c>
    </row>
    <row r="10" spans="1:13" ht="15" thickBot="1">
      <c r="A10" s="53" t="s">
        <v>16</v>
      </c>
      <c r="B10" s="2">
        <v>8446.5159999999996</v>
      </c>
      <c r="C10" s="2">
        <v>8574.2090000000007</v>
      </c>
      <c r="D10" s="2">
        <v>8563.0239999999994</v>
      </c>
      <c r="E10" s="2">
        <v>7320.9319999999998</v>
      </c>
      <c r="F10" s="2">
        <v>148.61099999999999</v>
      </c>
      <c r="G10" s="2">
        <v>9405.8940000000002</v>
      </c>
      <c r="H10" s="2">
        <v>256.108</v>
      </c>
      <c r="I10" s="2">
        <v>279.87599999999998</v>
      </c>
      <c r="J10" s="2">
        <v>243.58</v>
      </c>
      <c r="K10" s="2">
        <v>171.95400000000001</v>
      </c>
      <c r="L10" s="1">
        <v>43407.589</v>
      </c>
    </row>
    <row r="11" spans="1:13" ht="15" thickBot="1">
      <c r="A11" s="53" t="s">
        <v>64</v>
      </c>
      <c r="B11" s="2">
        <v>158.358</v>
      </c>
      <c r="C11" s="2">
        <v>194.202</v>
      </c>
      <c r="D11" s="2">
        <v>360.87099999999998</v>
      </c>
      <c r="E11" s="2">
        <v>492.86399999999998</v>
      </c>
      <c r="F11" s="2">
        <v>122.35899999999999</v>
      </c>
      <c r="G11" s="2">
        <v>342.63</v>
      </c>
      <c r="H11" s="2">
        <v>381.08800000000002</v>
      </c>
      <c r="I11" s="2">
        <v>301.92099999999999</v>
      </c>
      <c r="J11" s="2">
        <v>4014.97</v>
      </c>
      <c r="K11" s="2">
        <v>352.24099999999999</v>
      </c>
      <c r="L11" s="1">
        <v>6721.5039999999999</v>
      </c>
    </row>
    <row r="12" spans="1:13" ht="15" thickBot="1">
      <c r="A12" s="53" t="s">
        <v>15</v>
      </c>
      <c r="B12" s="2">
        <v>4773.2079999999996</v>
      </c>
      <c r="C12" s="2">
        <v>4611.3469999999998</v>
      </c>
      <c r="D12" s="2">
        <v>4999.4120000000003</v>
      </c>
      <c r="E12" s="2">
        <v>4128.8249999999998</v>
      </c>
      <c r="F12" s="2">
        <v>737.92499999999995</v>
      </c>
      <c r="G12" s="2">
        <v>5265.98</v>
      </c>
      <c r="H12" s="2">
        <v>5421.4679999999998</v>
      </c>
      <c r="I12" s="2">
        <v>6036.3140000000003</v>
      </c>
      <c r="J12" s="2">
        <v>338.51900000000001</v>
      </c>
      <c r="K12" s="2">
        <v>6687.1540000000005</v>
      </c>
      <c r="L12" s="1">
        <v>43000.152000000002</v>
      </c>
    </row>
    <row r="13" spans="1:13" ht="15" thickBot="1">
      <c r="A13" s="53" t="s">
        <v>67</v>
      </c>
      <c r="B13" s="2">
        <v>116.398</v>
      </c>
      <c r="C13" s="2">
        <v>80.584000000000003</v>
      </c>
      <c r="D13" s="2">
        <v>63.341000000000001</v>
      </c>
      <c r="E13" s="2">
        <v>35.433999999999997</v>
      </c>
      <c r="F13" s="2">
        <v>34.072000000000003</v>
      </c>
      <c r="G13" s="2">
        <v>89.337999999999994</v>
      </c>
      <c r="H13" s="2">
        <v>81.56</v>
      </c>
      <c r="I13" s="2">
        <v>62.673999999999999</v>
      </c>
      <c r="J13" s="2">
        <v>28.108000000000001</v>
      </c>
      <c r="K13" s="2">
        <v>41.933</v>
      </c>
      <c r="L13" s="1">
        <v>633.35</v>
      </c>
    </row>
    <row r="14" spans="1:13" ht="15" thickBot="1">
      <c r="A14" s="53" t="s">
        <v>9</v>
      </c>
      <c r="B14" s="2">
        <v>19.088000000000001</v>
      </c>
      <c r="C14" s="2">
        <v>23.236000000000001</v>
      </c>
      <c r="D14" s="2">
        <v>28.202999999999999</v>
      </c>
      <c r="E14" s="2">
        <v>15.105</v>
      </c>
      <c r="F14" s="2">
        <v>53.048999999999999</v>
      </c>
      <c r="G14" s="2">
        <v>53.396000000000001</v>
      </c>
      <c r="H14" s="2">
        <v>27.524000000000001</v>
      </c>
      <c r="I14" s="2">
        <v>24.096</v>
      </c>
      <c r="J14" s="2">
        <v>0.66400000000000003</v>
      </c>
      <c r="K14" s="2">
        <v>16.190999999999999</v>
      </c>
      <c r="L14" s="1">
        <v>260.52999999999997</v>
      </c>
    </row>
    <row r="15" spans="1:13" ht="15" thickBot="1">
      <c r="A15" s="53" t="s">
        <v>10</v>
      </c>
      <c r="B15" s="2">
        <v>2.0339999999999998</v>
      </c>
      <c r="C15" s="2">
        <v>2.08</v>
      </c>
      <c r="D15" s="2">
        <v>3.0409999999999999</v>
      </c>
      <c r="E15" s="2">
        <v>2.0209999999999999</v>
      </c>
      <c r="F15" s="2">
        <v>16.087</v>
      </c>
      <c r="G15" s="2">
        <v>3.7240000000000002</v>
      </c>
      <c r="H15" s="2">
        <v>1.496</v>
      </c>
      <c r="I15" s="2">
        <v>1.4410000000000001</v>
      </c>
      <c r="J15" s="2">
        <v>0.46</v>
      </c>
      <c r="K15" s="2">
        <v>0.35399999999999998</v>
      </c>
      <c r="L15" s="1">
        <v>32.738</v>
      </c>
    </row>
    <row r="16" spans="1:13" ht="15" thickBot="1">
      <c r="A16" s="53" t="s">
        <v>7</v>
      </c>
      <c r="B16" s="2">
        <v>237.52500000000001</v>
      </c>
      <c r="C16" s="2">
        <v>118.86499999999999</v>
      </c>
      <c r="D16" s="2">
        <v>214.398</v>
      </c>
      <c r="E16" s="2">
        <v>195.15100000000001</v>
      </c>
      <c r="F16" s="2">
        <v>4.3559999999999999</v>
      </c>
      <c r="G16" s="2">
        <v>163.297</v>
      </c>
      <c r="H16" s="2">
        <v>102.932</v>
      </c>
      <c r="I16" s="2">
        <v>88.084999999999994</v>
      </c>
      <c r="J16" s="2">
        <v>5.1999999999999998E-2</v>
      </c>
      <c r="K16" s="2">
        <v>109.43899999999999</v>
      </c>
      <c r="L16" s="1">
        <v>1233.981</v>
      </c>
    </row>
    <row r="17" spans="1:12" ht="15" thickBot="1">
      <c r="A17" s="53" t="s">
        <v>68</v>
      </c>
      <c r="B17" s="2">
        <v>0</v>
      </c>
      <c r="C17" s="2">
        <v>1E-3</v>
      </c>
      <c r="D17" s="2">
        <v>1E-3</v>
      </c>
      <c r="E17" s="2">
        <v>1E-3</v>
      </c>
      <c r="F17" s="2">
        <v>0.67700000000000005</v>
      </c>
      <c r="G17" s="2">
        <v>0</v>
      </c>
      <c r="H17" s="2">
        <v>1E-3</v>
      </c>
      <c r="I17" s="2">
        <v>0</v>
      </c>
      <c r="J17" s="2">
        <v>0</v>
      </c>
      <c r="K17" s="2">
        <v>1E-3</v>
      </c>
      <c r="L17" s="1">
        <v>0.68200000000000005</v>
      </c>
    </row>
    <row r="18" spans="1:12" ht="15" thickBot="1">
      <c r="A18" s="53" t="s">
        <v>12</v>
      </c>
      <c r="B18" s="2">
        <v>8.42</v>
      </c>
      <c r="C18" s="2">
        <v>8.85</v>
      </c>
      <c r="D18" s="2">
        <v>9.31</v>
      </c>
      <c r="E18" s="2">
        <v>9.68</v>
      </c>
      <c r="F18" s="2">
        <v>10.119999999999999</v>
      </c>
      <c r="G18" s="2">
        <v>10.45</v>
      </c>
      <c r="H18" s="2">
        <v>10.78</v>
      </c>
      <c r="I18" s="2">
        <v>11.2</v>
      </c>
      <c r="J18" s="2">
        <v>11.35</v>
      </c>
      <c r="K18" s="2">
        <v>11.433999999999999</v>
      </c>
      <c r="L18" s="1">
        <v>101.59399999999999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B88F-1BDB-491D-B0CD-238F54C41EE1}">
  <sheetPr codeName="Sheet3"/>
  <dimension ref="A1:E18"/>
  <sheetViews>
    <sheetView workbookViewId="0">
      <selection activeCell="F22" sqref="F22"/>
    </sheetView>
  </sheetViews>
  <sheetFormatPr defaultRowHeight="14.4"/>
  <cols>
    <col min="1" max="1" width="17.88671875" bestFit="1" customWidth="1"/>
    <col min="2" max="2" width="24.5546875" bestFit="1" customWidth="1"/>
    <col min="3" max="3" width="25.77734375" bestFit="1" customWidth="1"/>
    <col min="4" max="4" width="17.88671875" bestFit="1" customWidth="1"/>
    <col min="5" max="5" width="15.109375" bestFit="1" customWidth="1"/>
    <col min="7" max="7" width="17.88671875" bestFit="1" customWidth="1"/>
    <col min="8" max="8" width="24.5546875" bestFit="1" customWidth="1"/>
    <col min="9" max="9" width="40.44140625" bestFit="1" customWidth="1"/>
    <col min="10" max="10" width="45" bestFit="1" customWidth="1"/>
  </cols>
  <sheetData>
    <row r="1" spans="1:5" ht="15" thickBot="1">
      <c r="A1" s="3" t="s">
        <v>0</v>
      </c>
      <c r="B1" s="3" t="s">
        <v>1</v>
      </c>
      <c r="C1" s="1" t="s">
        <v>27</v>
      </c>
      <c r="D1" s="3" t="s">
        <v>28</v>
      </c>
      <c r="E1" s="3" t="s">
        <v>29</v>
      </c>
    </row>
    <row r="2" spans="1:5" ht="15" thickBot="1">
      <c r="A2" s="3" t="s">
        <v>2</v>
      </c>
      <c r="B2" s="4" t="s">
        <v>3</v>
      </c>
      <c r="C2" s="2">
        <v>167.20500000000001</v>
      </c>
      <c r="D2" s="5">
        <v>2.4303000000000002E-2</v>
      </c>
      <c r="E2" s="5">
        <v>6.82</v>
      </c>
    </row>
    <row r="3" spans="1:5" ht="15" thickBot="1">
      <c r="A3" s="5"/>
      <c r="B3" s="4" t="s">
        <v>4</v>
      </c>
      <c r="C3" s="2">
        <v>281.76900000000001</v>
      </c>
      <c r="D3" s="5">
        <v>4.0954999999999998E-2</v>
      </c>
      <c r="E3" s="5">
        <v>11.5</v>
      </c>
    </row>
    <row r="4" spans="1:5" ht="15" thickBot="1">
      <c r="A4" s="5"/>
      <c r="B4" s="4" t="s">
        <v>5</v>
      </c>
      <c r="C4" s="2">
        <v>81.424000000000007</v>
      </c>
      <c r="D4" s="5">
        <v>1.1835E-2</v>
      </c>
      <c r="E4" s="5">
        <v>3.32</v>
      </c>
    </row>
    <row r="5" spans="1:5" ht="15" thickBot="1">
      <c r="A5" s="5"/>
      <c r="B5" s="4" t="s">
        <v>6</v>
      </c>
      <c r="C5" s="2">
        <v>686.49300000000005</v>
      </c>
      <c r="D5" s="5">
        <v>9.9780999999999995E-2</v>
      </c>
      <c r="E5" s="5">
        <v>28.01</v>
      </c>
    </row>
    <row r="6" spans="1:5" ht="15" thickBot="1">
      <c r="A6" s="5"/>
      <c r="B6" s="4" t="s">
        <v>7</v>
      </c>
      <c r="C6" s="2">
        <v>1233.981</v>
      </c>
      <c r="D6" s="5">
        <v>0.17935799999999999</v>
      </c>
      <c r="E6" s="5">
        <v>50.35</v>
      </c>
    </row>
    <row r="7" spans="1:5" ht="15" thickBot="1">
      <c r="A7" s="3" t="s">
        <v>8</v>
      </c>
      <c r="B7" s="4" t="s">
        <v>9</v>
      </c>
      <c r="C7" s="2">
        <v>260.52999999999997</v>
      </c>
      <c r="D7" s="5">
        <v>3.7867999999999999E-2</v>
      </c>
      <c r="E7" s="5">
        <v>88.84</v>
      </c>
    </row>
    <row r="8" spans="1:5" ht="15" thickBot="1">
      <c r="A8" s="5"/>
      <c r="B8" s="4" t="s">
        <v>10</v>
      </c>
      <c r="C8" s="2">
        <v>32.738</v>
      </c>
      <c r="D8" s="5">
        <v>4.7580000000000001E-3</v>
      </c>
      <c r="E8" s="5">
        <v>11.16</v>
      </c>
    </row>
    <row r="9" spans="1:5" ht="15" thickBot="1">
      <c r="A9" s="3" t="s">
        <v>11</v>
      </c>
      <c r="B9" s="4" t="s">
        <v>12</v>
      </c>
      <c r="C9" s="2">
        <v>101.59399999999999</v>
      </c>
      <c r="D9" s="5">
        <v>1.4767000000000001E-2</v>
      </c>
      <c r="E9" s="5">
        <v>1.49</v>
      </c>
    </row>
    <row r="10" spans="1:5" ht="15" thickBot="1">
      <c r="A10" s="5"/>
      <c r="B10" s="4" t="s">
        <v>13</v>
      </c>
      <c r="C10" s="2">
        <v>6721.5039999999999</v>
      </c>
      <c r="D10" s="5">
        <v>0.97696300000000003</v>
      </c>
      <c r="E10" s="5">
        <v>98.51</v>
      </c>
    </row>
    <row r="11" spans="1:5" ht="15" thickBot="1">
      <c r="A11" s="3" t="s">
        <v>14</v>
      </c>
      <c r="B11" s="4" t="s">
        <v>15</v>
      </c>
      <c r="C11" s="2">
        <v>43000.152000000002</v>
      </c>
      <c r="D11" s="5">
        <v>6.2500220000000004</v>
      </c>
      <c r="E11" s="5">
        <v>49.76</v>
      </c>
    </row>
    <row r="12" spans="1:5" ht="15" thickBot="1">
      <c r="A12" s="5"/>
      <c r="B12" s="4" t="s">
        <v>16</v>
      </c>
      <c r="C12" s="2">
        <v>43407.589</v>
      </c>
      <c r="D12" s="5">
        <v>6.3092430000000004</v>
      </c>
      <c r="E12" s="5">
        <v>50.24</v>
      </c>
    </row>
    <row r="13" spans="1:5" ht="15" thickBot="1">
      <c r="A13" s="3" t="s">
        <v>17</v>
      </c>
      <c r="B13" s="4" t="s">
        <v>18</v>
      </c>
      <c r="C13" s="2">
        <v>422.93299999999999</v>
      </c>
      <c r="D13" s="5">
        <v>6.1473E-2</v>
      </c>
      <c r="E13" s="5">
        <v>51.52</v>
      </c>
    </row>
    <row r="14" spans="1:5" ht="15" thickBot="1">
      <c r="A14" s="5"/>
      <c r="B14" s="4" t="s">
        <v>19</v>
      </c>
      <c r="C14" s="2">
        <v>65.084999999999994</v>
      </c>
      <c r="D14" s="5">
        <v>9.4599999999999997E-3</v>
      </c>
      <c r="E14" s="5">
        <v>7.93</v>
      </c>
    </row>
    <row r="15" spans="1:5" ht="15" thickBot="1">
      <c r="A15" s="5"/>
      <c r="B15" s="4" t="s">
        <v>20</v>
      </c>
      <c r="C15" s="2">
        <v>316.12200000000001</v>
      </c>
      <c r="D15" s="5">
        <v>4.5948000000000003E-2</v>
      </c>
      <c r="E15" s="5">
        <v>40.549999999999997</v>
      </c>
    </row>
    <row r="16" spans="1:5" ht="15" thickBot="1">
      <c r="A16" s="3" t="s">
        <v>21</v>
      </c>
      <c r="B16" s="4" t="s">
        <v>22</v>
      </c>
      <c r="C16" s="2">
        <v>1098.963</v>
      </c>
      <c r="D16" s="5">
        <v>0.15973300000000001</v>
      </c>
      <c r="E16" s="5">
        <v>100</v>
      </c>
    </row>
    <row r="17" spans="1:5" ht="15" thickBot="1">
      <c r="A17" s="3" t="s">
        <v>23</v>
      </c>
      <c r="B17" s="4" t="s">
        <v>24</v>
      </c>
      <c r="C17" s="2">
        <v>633.35</v>
      </c>
      <c r="D17" s="5">
        <v>9.2057E-2</v>
      </c>
      <c r="E17" s="5">
        <v>100</v>
      </c>
    </row>
    <row r="18" spans="1:5" ht="15" thickBot="1">
      <c r="A18" s="3" t="s">
        <v>25</v>
      </c>
      <c r="B18" s="4" t="s">
        <v>26</v>
      </c>
      <c r="C18" s="2">
        <v>0.68200000000000005</v>
      </c>
      <c r="D18" s="5">
        <v>9.8999999999999994E-5</v>
      </c>
      <c r="E18" s="5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44738-EED6-4976-8D4B-A1CD99503685}">
  <sheetPr codeName="Sheet4"/>
  <dimension ref="A1:J18"/>
  <sheetViews>
    <sheetView tabSelected="1" workbookViewId="0">
      <selection activeCell="J20" sqref="J20"/>
    </sheetView>
  </sheetViews>
  <sheetFormatPr defaultRowHeight="14.4"/>
  <cols>
    <col min="1" max="1" width="19.21875" style="6" bestFit="1" customWidth="1"/>
    <col min="2" max="2" width="26" style="6" bestFit="1" customWidth="1"/>
    <col min="3" max="3" width="9.88671875" bestFit="1" customWidth="1"/>
    <col min="4" max="4" width="8.21875" bestFit="1" customWidth="1"/>
    <col min="5" max="5" width="8.44140625" bestFit="1" customWidth="1"/>
    <col min="6" max="6" width="7.88671875" bestFit="1" customWidth="1"/>
    <col min="7" max="7" width="8" bestFit="1" customWidth="1"/>
    <col min="8" max="8" width="6.77734375" bestFit="1" customWidth="1"/>
    <col min="9" max="10" width="22.77734375" bestFit="1" customWidth="1"/>
  </cols>
  <sheetData>
    <row r="1" spans="1:10" ht="15" thickBot="1">
      <c r="A1" s="10" t="s">
        <v>0</v>
      </c>
      <c r="B1" s="7" t="s">
        <v>1</v>
      </c>
      <c r="C1" s="7" t="s">
        <v>30</v>
      </c>
      <c r="D1" s="7" t="s">
        <v>31</v>
      </c>
      <c r="E1" s="7" t="s">
        <v>32</v>
      </c>
      <c r="F1" s="7" t="s">
        <v>33</v>
      </c>
      <c r="G1" s="7" t="s">
        <v>34</v>
      </c>
      <c r="H1" s="7" t="s">
        <v>35</v>
      </c>
      <c r="I1" s="7" t="s">
        <v>36</v>
      </c>
      <c r="J1" s="7"/>
    </row>
    <row r="2" spans="1:10" ht="15" thickBot="1">
      <c r="A2" s="10" t="s">
        <v>37</v>
      </c>
      <c r="B2" s="8" t="s">
        <v>3</v>
      </c>
      <c r="C2" s="9">
        <v>93.28</v>
      </c>
      <c r="D2" s="9">
        <v>0.92</v>
      </c>
      <c r="E2" s="9">
        <v>1.22</v>
      </c>
      <c r="F2" s="9">
        <v>2.5299999999999998</v>
      </c>
      <c r="G2" s="9">
        <v>1.31</v>
      </c>
      <c r="H2" s="9">
        <v>0.52</v>
      </c>
      <c r="I2" s="9" t="s">
        <v>38</v>
      </c>
      <c r="J2" s="2" t="s">
        <v>72</v>
      </c>
    </row>
    <row r="3" spans="1:10" ht="15" thickBot="1">
      <c r="A3" s="9"/>
      <c r="B3" s="8" t="s">
        <v>4</v>
      </c>
      <c r="C3" s="9">
        <v>93.68</v>
      </c>
      <c r="D3" s="9">
        <v>0.56999999999999995</v>
      </c>
      <c r="E3" s="9">
        <v>0.9</v>
      </c>
      <c r="F3" s="9">
        <v>1.91</v>
      </c>
      <c r="G3" s="9">
        <v>1.01</v>
      </c>
      <c r="H3" s="9">
        <v>0.59</v>
      </c>
      <c r="I3" s="9" t="s">
        <v>39</v>
      </c>
      <c r="J3" s="2" t="s">
        <v>80</v>
      </c>
    </row>
    <row r="4" spans="1:10" ht="15" thickBot="1">
      <c r="A4" s="9"/>
      <c r="B4" s="8" t="s">
        <v>5</v>
      </c>
      <c r="C4" s="9">
        <v>73</v>
      </c>
      <c r="D4" s="9">
        <v>0.56000000000000005</v>
      </c>
      <c r="E4" s="9">
        <v>0.75</v>
      </c>
      <c r="F4" s="9">
        <v>1.87</v>
      </c>
      <c r="G4" s="9">
        <v>1.1200000000000001</v>
      </c>
      <c r="H4" s="9">
        <v>0.6</v>
      </c>
      <c r="I4" s="9" t="s">
        <v>40</v>
      </c>
      <c r="J4" s="2" t="s">
        <v>73</v>
      </c>
    </row>
    <row r="5" spans="1:10" ht="15" thickBot="1">
      <c r="A5" s="9"/>
      <c r="B5" s="8" t="s">
        <v>6</v>
      </c>
      <c r="C5" s="9">
        <v>49.3</v>
      </c>
      <c r="D5" s="9">
        <v>0.63</v>
      </c>
      <c r="E5" s="9">
        <v>1.1100000000000001</v>
      </c>
      <c r="F5" s="9">
        <v>4.59</v>
      </c>
      <c r="G5" s="9">
        <v>3.48</v>
      </c>
      <c r="H5" s="9">
        <v>0.76</v>
      </c>
      <c r="I5" s="9" t="s">
        <v>41</v>
      </c>
      <c r="J5" s="2" t="s">
        <v>81</v>
      </c>
    </row>
    <row r="6" spans="1:10" ht="15" thickBot="1">
      <c r="A6" s="9"/>
      <c r="B6" s="8" t="s">
        <v>7</v>
      </c>
      <c r="C6" s="9">
        <v>32.1</v>
      </c>
      <c r="D6" s="9">
        <v>1.5</v>
      </c>
      <c r="E6" s="9">
        <v>2.29</v>
      </c>
      <c r="F6" s="9">
        <v>3.68</v>
      </c>
      <c r="G6" s="9">
        <v>1.4</v>
      </c>
      <c r="H6" s="9">
        <v>0.38</v>
      </c>
      <c r="I6" s="9" t="s">
        <v>42</v>
      </c>
      <c r="J6" s="2" t="s">
        <v>82</v>
      </c>
    </row>
    <row r="7" spans="1:10" ht="15" thickBot="1">
      <c r="A7" s="10" t="s">
        <v>43</v>
      </c>
      <c r="B7" s="8" t="s">
        <v>9</v>
      </c>
      <c r="C7" s="9">
        <v>63</v>
      </c>
      <c r="D7" s="9">
        <v>0.77</v>
      </c>
      <c r="E7" s="9">
        <v>1.24</v>
      </c>
      <c r="F7" s="9">
        <v>2.4500000000000002</v>
      </c>
      <c r="G7" s="9">
        <v>1.21</v>
      </c>
      <c r="H7" s="9">
        <v>0.49</v>
      </c>
      <c r="I7" s="9" t="s">
        <v>44</v>
      </c>
      <c r="J7" s="2" t="s">
        <v>83</v>
      </c>
    </row>
    <row r="8" spans="1:10" ht="28.2" thickBot="1">
      <c r="A8" s="9"/>
      <c r="B8" s="8" t="s">
        <v>10</v>
      </c>
      <c r="C8" s="9">
        <v>24</v>
      </c>
      <c r="D8" s="9">
        <v>0.9</v>
      </c>
      <c r="E8" s="9">
        <v>2.16</v>
      </c>
      <c r="F8" s="9">
        <v>3.13</v>
      </c>
      <c r="G8" s="9">
        <v>1.5649999999999999</v>
      </c>
      <c r="H8" s="9">
        <v>0.5</v>
      </c>
      <c r="I8" s="9" t="s">
        <v>45</v>
      </c>
      <c r="J8" s="2" t="s">
        <v>78</v>
      </c>
    </row>
    <row r="9" spans="1:10" ht="15" thickBot="1">
      <c r="A9" s="10" t="s">
        <v>46</v>
      </c>
      <c r="B9" s="8" t="s">
        <v>12</v>
      </c>
      <c r="C9" s="9">
        <v>40.799999999999997</v>
      </c>
      <c r="D9" s="9">
        <v>0.49</v>
      </c>
      <c r="E9" s="9">
        <v>0.91</v>
      </c>
      <c r="F9" s="9">
        <v>1.1599999999999999</v>
      </c>
      <c r="G9" s="9">
        <v>0.24</v>
      </c>
      <c r="H9" s="9">
        <v>0.2</v>
      </c>
      <c r="I9" s="9" t="s">
        <v>47</v>
      </c>
      <c r="J9" s="2" t="s">
        <v>85</v>
      </c>
    </row>
    <row r="10" spans="1:10" ht="15" thickBot="1">
      <c r="A10" s="9"/>
      <c r="B10" s="8" t="s">
        <v>13</v>
      </c>
      <c r="C10" s="9">
        <v>10.46</v>
      </c>
      <c r="D10" s="9">
        <v>0.95</v>
      </c>
      <c r="E10" s="9">
        <v>1.22</v>
      </c>
      <c r="F10" s="9">
        <v>3.26</v>
      </c>
      <c r="G10" s="9">
        <v>2.04</v>
      </c>
      <c r="H10" s="9">
        <v>0.63</v>
      </c>
      <c r="I10" s="9" t="s">
        <v>48</v>
      </c>
      <c r="J10" s="2" t="s">
        <v>74</v>
      </c>
    </row>
    <row r="11" spans="1:10" ht="15" thickBot="1">
      <c r="A11" s="10" t="s">
        <v>49</v>
      </c>
      <c r="B11" s="8" t="s">
        <v>15</v>
      </c>
      <c r="C11" s="9">
        <v>5.03</v>
      </c>
      <c r="D11" s="9">
        <v>2.62</v>
      </c>
      <c r="E11" s="9">
        <v>1.35</v>
      </c>
      <c r="F11" s="9">
        <v>4.75</v>
      </c>
      <c r="G11" s="9">
        <v>3.4</v>
      </c>
      <c r="H11" s="9">
        <v>0.72</v>
      </c>
      <c r="I11" s="9" t="s">
        <v>50</v>
      </c>
      <c r="J11" s="2" t="s">
        <v>75</v>
      </c>
    </row>
    <row r="12" spans="1:10" ht="15" thickBot="1">
      <c r="A12" s="9"/>
      <c r="B12" s="8" t="s">
        <v>16</v>
      </c>
      <c r="C12" s="9">
        <v>19.59</v>
      </c>
      <c r="D12" s="9">
        <v>0.56000000000000005</v>
      </c>
      <c r="E12" s="9">
        <v>1.37</v>
      </c>
      <c r="F12" s="9">
        <v>2.95</v>
      </c>
      <c r="G12" s="9">
        <v>1.58</v>
      </c>
      <c r="H12" s="9">
        <v>0.54</v>
      </c>
      <c r="I12" s="9" t="s">
        <v>51</v>
      </c>
      <c r="J12" s="2" t="s">
        <v>84</v>
      </c>
    </row>
    <row r="13" spans="1:10" ht="15" thickBot="1">
      <c r="A13" s="10" t="s">
        <v>52</v>
      </c>
      <c r="B13" s="8" t="s">
        <v>53</v>
      </c>
      <c r="C13" s="9">
        <v>99.75</v>
      </c>
      <c r="D13" s="9">
        <v>1.3</v>
      </c>
      <c r="E13" s="9">
        <v>1.47</v>
      </c>
      <c r="F13" s="9">
        <v>3.37</v>
      </c>
      <c r="G13" s="9">
        <v>1.9</v>
      </c>
      <c r="H13" s="9">
        <v>0.56000000000000005</v>
      </c>
      <c r="I13" s="9" t="s">
        <v>50</v>
      </c>
      <c r="J13" s="2" t="s">
        <v>75</v>
      </c>
    </row>
    <row r="14" spans="1:10" ht="15" thickBot="1">
      <c r="A14" s="9"/>
      <c r="B14" s="8" t="s">
        <v>19</v>
      </c>
      <c r="C14" s="9">
        <v>21</v>
      </c>
      <c r="D14" s="9">
        <v>1</v>
      </c>
      <c r="E14" s="9">
        <v>1.92</v>
      </c>
      <c r="F14" s="9">
        <v>2.21</v>
      </c>
      <c r="G14" s="9">
        <v>0.28999999999999998</v>
      </c>
      <c r="H14" s="9">
        <v>0.13</v>
      </c>
      <c r="I14" s="9" t="s">
        <v>54</v>
      </c>
      <c r="J14" s="2" t="s">
        <v>76</v>
      </c>
    </row>
    <row r="15" spans="1:10" ht="15" thickBot="1">
      <c r="A15" s="9"/>
      <c r="B15" s="8" t="s">
        <v>20</v>
      </c>
      <c r="C15" s="9">
        <v>19.34</v>
      </c>
      <c r="D15" s="9">
        <v>0.94</v>
      </c>
      <c r="E15" s="9">
        <v>1.55</v>
      </c>
      <c r="F15" s="9">
        <v>4.3</v>
      </c>
      <c r="G15" s="9">
        <v>2.75</v>
      </c>
      <c r="H15" s="9">
        <v>0.64</v>
      </c>
      <c r="I15" s="9" t="s">
        <v>50</v>
      </c>
      <c r="J15" s="2" t="s">
        <v>86</v>
      </c>
    </row>
    <row r="16" spans="1:10" ht="15" thickBot="1">
      <c r="A16" s="10" t="s">
        <v>55</v>
      </c>
      <c r="B16" s="8" t="s">
        <v>22</v>
      </c>
      <c r="C16" s="9">
        <v>55.59</v>
      </c>
      <c r="D16" s="9">
        <v>0.39</v>
      </c>
      <c r="E16" s="9">
        <v>0.8</v>
      </c>
      <c r="F16" s="9">
        <v>1.39</v>
      </c>
      <c r="G16" s="9">
        <v>0.59</v>
      </c>
      <c r="H16" s="9">
        <v>0.42</v>
      </c>
      <c r="I16" s="9" t="s">
        <v>39</v>
      </c>
      <c r="J16" s="2" t="s">
        <v>80</v>
      </c>
    </row>
    <row r="17" spans="1:10" ht="15" thickBot="1">
      <c r="A17" s="10" t="s">
        <v>56</v>
      </c>
      <c r="B17" s="8" t="s">
        <v>24</v>
      </c>
      <c r="C17" s="9">
        <v>34.909999999999997</v>
      </c>
      <c r="D17" s="9">
        <v>0.38</v>
      </c>
      <c r="E17" s="9">
        <v>0.91</v>
      </c>
      <c r="F17" s="9">
        <v>1.19</v>
      </c>
      <c r="G17" s="9">
        <v>0.28000000000000003</v>
      </c>
      <c r="H17" s="9">
        <v>0.24</v>
      </c>
      <c r="I17" s="9" t="s">
        <v>57</v>
      </c>
      <c r="J17" s="2" t="s">
        <v>77</v>
      </c>
    </row>
    <row r="18" spans="1:10" ht="15" thickBot="1">
      <c r="A18" s="10" t="s">
        <v>58</v>
      </c>
      <c r="B18" s="8" t="s">
        <v>26</v>
      </c>
      <c r="C18" s="9">
        <v>17.100000000000001</v>
      </c>
      <c r="D18" s="9">
        <v>1.4</v>
      </c>
      <c r="E18" s="9">
        <v>2.52</v>
      </c>
      <c r="F18" s="9">
        <v>3.79</v>
      </c>
      <c r="G18" s="9">
        <v>1.89</v>
      </c>
      <c r="H18" s="9">
        <v>0.5</v>
      </c>
      <c r="I18" s="9" t="s">
        <v>45</v>
      </c>
      <c r="J18" s="2" t="s">
        <v>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9F8E-6041-4C34-A2F5-001FD706A61E}">
  <sheetPr codeName="Sheet5"/>
  <dimension ref="A1:U35"/>
  <sheetViews>
    <sheetView zoomScaleNormal="100" workbookViewId="0">
      <selection activeCell="N7" sqref="N7:N8"/>
    </sheetView>
  </sheetViews>
  <sheetFormatPr defaultRowHeight="14.4"/>
  <cols>
    <col min="1" max="1" width="17.88671875" bestFit="1" customWidth="1"/>
    <col min="2" max="2" width="24.5546875" bestFit="1" customWidth="1"/>
    <col min="3" max="3" width="25.77734375" bestFit="1" customWidth="1"/>
    <col min="4" max="4" width="17.88671875" bestFit="1" customWidth="1"/>
    <col min="5" max="5" width="15.109375" bestFit="1" customWidth="1"/>
    <col min="6" max="6" width="15.109375" customWidth="1"/>
    <col min="7" max="7" width="9.88671875" bestFit="1" customWidth="1"/>
    <col min="8" max="8" width="8.21875" bestFit="1" customWidth="1"/>
    <col min="9" max="9" width="8.44140625" bestFit="1" customWidth="1"/>
    <col min="10" max="10" width="7.88671875" bestFit="1" customWidth="1"/>
    <col min="11" max="11" width="8" bestFit="1" customWidth="1"/>
    <col min="12" max="12" width="6.77734375" bestFit="1" customWidth="1"/>
    <col min="13" max="13" width="16" style="36" bestFit="1" customWidth="1"/>
    <col min="14" max="16" width="8.88671875" style="36"/>
    <col min="17" max="17" width="14.6640625" style="36" bestFit="1" customWidth="1"/>
  </cols>
  <sheetData>
    <row r="1" spans="1:21" ht="15" thickBot="1">
      <c r="A1" s="3" t="s">
        <v>0</v>
      </c>
      <c r="B1" s="3" t="s">
        <v>1</v>
      </c>
      <c r="C1" s="1" t="s">
        <v>27</v>
      </c>
      <c r="D1" s="3" t="s">
        <v>28</v>
      </c>
      <c r="E1" s="3" t="s">
        <v>29</v>
      </c>
      <c r="F1" s="3" t="s">
        <v>59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36" t="str">
        <f>F1&amp;J1</f>
        <v>ProportionZ (/yr)</v>
      </c>
      <c r="N1" s="36" t="s">
        <v>79</v>
      </c>
      <c r="O1" s="41"/>
      <c r="P1" s="41"/>
      <c r="Q1" s="41"/>
      <c r="R1" s="41"/>
      <c r="S1" s="41"/>
      <c r="T1" s="41"/>
      <c r="U1" s="41"/>
    </row>
    <row r="2" spans="1:21" s="16" customFormat="1" ht="15" thickBot="1">
      <c r="A2" s="11" t="s">
        <v>2</v>
      </c>
      <c r="B2" s="12" t="s">
        <v>3</v>
      </c>
      <c r="C2" s="13">
        <v>167.20500000000001</v>
      </c>
      <c r="D2" s="14">
        <v>2.4303000000000002E-2</v>
      </c>
      <c r="E2" s="14">
        <v>6.82</v>
      </c>
      <c r="F2" s="35">
        <f>E2/100</f>
        <v>6.8199999999999997E-2</v>
      </c>
      <c r="G2" s="15">
        <v>93.28</v>
      </c>
      <c r="H2" s="15">
        <v>0.92</v>
      </c>
      <c r="I2" s="15">
        <v>1.22</v>
      </c>
      <c r="J2" s="15">
        <v>2.5299999999999998</v>
      </c>
      <c r="K2" s="15">
        <v>1.31</v>
      </c>
      <c r="L2" s="15">
        <v>0.52</v>
      </c>
      <c r="M2" s="37">
        <f>F2*J2</f>
        <v>0.17254599999999998</v>
      </c>
      <c r="N2" s="73">
        <f>SUM(M2:M6)</f>
        <v>3.5928190000000004</v>
      </c>
      <c r="O2" s="43"/>
      <c r="P2" s="43"/>
      <c r="Q2" s="44"/>
      <c r="R2" s="43"/>
      <c r="S2" s="43"/>
      <c r="T2" s="43"/>
      <c r="U2" s="42"/>
    </row>
    <row r="3" spans="1:21" s="16" customFormat="1" ht="15" thickBot="1">
      <c r="A3" s="14"/>
      <c r="B3" s="12" t="s">
        <v>4</v>
      </c>
      <c r="C3" s="13">
        <v>281.76900000000001</v>
      </c>
      <c r="D3" s="14">
        <v>4.0954999999999998E-2</v>
      </c>
      <c r="E3" s="14">
        <v>11.5</v>
      </c>
      <c r="F3" s="35">
        <f t="shared" ref="F3:F18" si="0">E3/100</f>
        <v>0.115</v>
      </c>
      <c r="G3" s="15">
        <v>93.68</v>
      </c>
      <c r="H3" s="15">
        <v>0.56999999999999995</v>
      </c>
      <c r="I3" s="15">
        <v>0.9</v>
      </c>
      <c r="J3" s="15">
        <v>1.91</v>
      </c>
      <c r="K3" s="15">
        <v>1.01</v>
      </c>
      <c r="L3" s="15">
        <v>0.59</v>
      </c>
      <c r="M3" s="37">
        <f t="shared" ref="M3:M18" si="1">F3*J3</f>
        <v>0.21965000000000001</v>
      </c>
      <c r="N3" s="73"/>
      <c r="O3" s="43"/>
      <c r="P3" s="43"/>
      <c r="Q3" s="44"/>
      <c r="R3" s="43"/>
      <c r="S3" s="43"/>
      <c r="T3" s="43"/>
      <c r="U3" s="42"/>
    </row>
    <row r="4" spans="1:21" s="16" customFormat="1" ht="15" thickBot="1">
      <c r="A4" s="14"/>
      <c r="B4" s="12" t="s">
        <v>5</v>
      </c>
      <c r="C4" s="13">
        <v>81.424000000000007</v>
      </c>
      <c r="D4" s="14">
        <v>1.1835E-2</v>
      </c>
      <c r="E4" s="14">
        <v>3.32</v>
      </c>
      <c r="F4" s="35">
        <f t="shared" si="0"/>
        <v>3.32E-2</v>
      </c>
      <c r="G4" s="15">
        <v>73</v>
      </c>
      <c r="H4" s="15">
        <v>0.56000000000000005</v>
      </c>
      <c r="I4" s="15">
        <v>0.75</v>
      </c>
      <c r="J4" s="15">
        <v>1.87</v>
      </c>
      <c r="K4" s="15">
        <v>1.1200000000000001</v>
      </c>
      <c r="L4" s="15">
        <v>0.6</v>
      </c>
      <c r="M4" s="37">
        <f t="shared" si="1"/>
        <v>6.2084000000000007E-2</v>
      </c>
      <c r="N4" s="73"/>
      <c r="O4" s="43"/>
      <c r="P4" s="43"/>
      <c r="Q4" s="44"/>
      <c r="R4" s="43"/>
      <c r="S4" s="43"/>
      <c r="T4" s="43"/>
      <c r="U4" s="42"/>
    </row>
    <row r="5" spans="1:21" s="16" customFormat="1" ht="15" thickBot="1">
      <c r="A5" s="14"/>
      <c r="B5" s="12" t="s">
        <v>6</v>
      </c>
      <c r="C5" s="13">
        <v>686.49300000000005</v>
      </c>
      <c r="D5" s="14">
        <v>9.9780999999999995E-2</v>
      </c>
      <c r="E5" s="14">
        <v>28.01</v>
      </c>
      <c r="F5" s="35">
        <f t="shared" si="0"/>
        <v>0.28010000000000002</v>
      </c>
      <c r="G5" s="15">
        <v>49.3</v>
      </c>
      <c r="H5" s="15">
        <v>0.63</v>
      </c>
      <c r="I5" s="15">
        <v>1.1100000000000001</v>
      </c>
      <c r="J5" s="15">
        <v>4.59</v>
      </c>
      <c r="K5" s="15">
        <v>3.48</v>
      </c>
      <c r="L5" s="15">
        <v>0.76</v>
      </c>
      <c r="M5" s="37">
        <f t="shared" si="1"/>
        <v>1.2856590000000001</v>
      </c>
      <c r="N5" s="73"/>
      <c r="O5" s="43"/>
      <c r="P5" s="43"/>
      <c r="Q5" s="44"/>
      <c r="R5" s="43"/>
      <c r="S5" s="43"/>
      <c r="T5" s="43"/>
      <c r="U5" s="42"/>
    </row>
    <row r="6" spans="1:21" s="16" customFormat="1" ht="15" thickBot="1">
      <c r="A6" s="14"/>
      <c r="B6" s="12" t="s">
        <v>7</v>
      </c>
      <c r="C6" s="13">
        <v>1233.981</v>
      </c>
      <c r="D6" s="14">
        <v>0.17935799999999999</v>
      </c>
      <c r="E6" s="14">
        <v>50.35</v>
      </c>
      <c r="F6" s="35">
        <f t="shared" si="0"/>
        <v>0.50350000000000006</v>
      </c>
      <c r="G6" s="15">
        <v>32.1</v>
      </c>
      <c r="H6" s="15">
        <v>1.5</v>
      </c>
      <c r="I6" s="15">
        <v>2.29</v>
      </c>
      <c r="J6" s="15">
        <v>3.68</v>
      </c>
      <c r="K6" s="15">
        <v>1.4</v>
      </c>
      <c r="L6" s="15">
        <v>0.38</v>
      </c>
      <c r="M6" s="37">
        <f t="shared" si="1"/>
        <v>1.8528800000000003</v>
      </c>
      <c r="N6" s="73"/>
      <c r="O6" s="43"/>
      <c r="P6" s="43"/>
      <c r="Q6" s="44"/>
      <c r="R6" s="43"/>
      <c r="S6" s="43"/>
      <c r="T6" s="43"/>
      <c r="U6" s="42"/>
    </row>
    <row r="7" spans="1:21" ht="15" thickBot="1">
      <c r="A7" s="3" t="s">
        <v>8</v>
      </c>
      <c r="B7" s="4" t="s">
        <v>9</v>
      </c>
      <c r="C7" s="2">
        <v>260.52999999999997</v>
      </c>
      <c r="D7" s="5">
        <v>3.7867999999999999E-2</v>
      </c>
      <c r="E7" s="5">
        <v>88.84</v>
      </c>
      <c r="F7" s="35">
        <f t="shared" si="0"/>
        <v>0.88840000000000008</v>
      </c>
      <c r="G7" s="9">
        <v>63</v>
      </c>
      <c r="H7" s="9">
        <v>0.77</v>
      </c>
      <c r="I7" s="9">
        <v>1.24</v>
      </c>
      <c r="J7" s="9">
        <v>2.4500000000000002</v>
      </c>
      <c r="K7" s="9">
        <v>1.21</v>
      </c>
      <c r="L7" s="9">
        <v>0.49</v>
      </c>
      <c r="M7" s="36">
        <f t="shared" si="1"/>
        <v>2.1765800000000004</v>
      </c>
      <c r="N7" s="74">
        <f>SUM(M7:M8)</f>
        <v>2.5258880000000006</v>
      </c>
      <c r="O7" s="43"/>
      <c r="P7" s="43"/>
      <c r="Q7" s="44"/>
      <c r="R7" s="43"/>
      <c r="S7" s="43"/>
      <c r="T7" s="43"/>
      <c r="U7" s="42"/>
    </row>
    <row r="8" spans="1:21" ht="15" thickBot="1">
      <c r="A8" s="5"/>
      <c r="B8" s="4" t="s">
        <v>10</v>
      </c>
      <c r="C8" s="2">
        <v>32.738</v>
      </c>
      <c r="D8" s="5">
        <v>4.7580000000000001E-3</v>
      </c>
      <c r="E8" s="5">
        <v>11.16</v>
      </c>
      <c r="F8" s="35">
        <f t="shared" si="0"/>
        <v>0.1116</v>
      </c>
      <c r="G8" s="9">
        <v>24</v>
      </c>
      <c r="H8" s="9">
        <v>0.9</v>
      </c>
      <c r="I8" s="9">
        <v>2.16</v>
      </c>
      <c r="J8" s="9">
        <v>3.13</v>
      </c>
      <c r="K8" s="9">
        <v>1.5649999999999999</v>
      </c>
      <c r="L8" s="9">
        <v>0.5</v>
      </c>
      <c r="M8" s="36">
        <f t="shared" si="1"/>
        <v>0.34930800000000001</v>
      </c>
      <c r="N8" s="74"/>
      <c r="O8" s="43"/>
      <c r="P8" s="43"/>
      <c r="Q8" s="44"/>
      <c r="R8" s="43"/>
      <c r="S8" s="43"/>
      <c r="T8" s="43"/>
      <c r="U8" s="42"/>
    </row>
    <row r="9" spans="1:21" s="22" customFormat="1" ht="15" thickBot="1">
      <c r="A9" s="17" t="s">
        <v>11</v>
      </c>
      <c r="B9" s="18" t="s">
        <v>12</v>
      </c>
      <c r="C9" s="19">
        <v>101.59399999999999</v>
      </c>
      <c r="D9" s="20">
        <v>1.4767000000000001E-2</v>
      </c>
      <c r="E9" s="20">
        <v>1.49</v>
      </c>
      <c r="F9" s="35">
        <f t="shared" si="0"/>
        <v>1.49E-2</v>
      </c>
      <c r="G9" s="21">
        <v>40.799999999999997</v>
      </c>
      <c r="H9" s="21">
        <v>0.49</v>
      </c>
      <c r="I9" s="21">
        <v>0.91</v>
      </c>
      <c r="J9" s="21">
        <v>1.1599999999999999</v>
      </c>
      <c r="K9" s="21">
        <v>0.24</v>
      </c>
      <c r="L9" s="21">
        <v>0.2</v>
      </c>
      <c r="M9" s="38">
        <f t="shared" si="1"/>
        <v>1.7283999999999997E-2</v>
      </c>
      <c r="N9" s="75">
        <f t="shared" ref="N9" si="2">SUM(M9:M10)</f>
        <v>3.22871</v>
      </c>
      <c r="O9" s="43"/>
      <c r="P9" s="43"/>
      <c r="Q9" s="44"/>
      <c r="R9" s="43"/>
      <c r="S9" s="43"/>
      <c r="T9" s="43"/>
      <c r="U9" s="42"/>
    </row>
    <row r="10" spans="1:21" s="22" customFormat="1" ht="15" thickBot="1">
      <c r="A10" s="20"/>
      <c r="B10" s="18" t="s">
        <v>13</v>
      </c>
      <c r="C10" s="19">
        <v>6721.5039999999999</v>
      </c>
      <c r="D10" s="20">
        <v>0.97696300000000003</v>
      </c>
      <c r="E10" s="20">
        <v>98.51</v>
      </c>
      <c r="F10" s="35">
        <f t="shared" si="0"/>
        <v>0.98510000000000009</v>
      </c>
      <c r="G10" s="21">
        <v>10.46</v>
      </c>
      <c r="H10" s="21">
        <v>0.95</v>
      </c>
      <c r="I10" s="21">
        <v>1.22</v>
      </c>
      <c r="J10" s="21">
        <v>3.26</v>
      </c>
      <c r="K10" s="21">
        <v>2.04</v>
      </c>
      <c r="L10" s="21">
        <v>0.63</v>
      </c>
      <c r="M10" s="38">
        <f t="shared" si="1"/>
        <v>3.2114259999999999</v>
      </c>
      <c r="N10" s="75"/>
      <c r="O10" s="43"/>
      <c r="P10" s="43"/>
      <c r="Q10" s="44"/>
      <c r="R10" s="43"/>
      <c r="S10" s="43"/>
      <c r="T10" s="43"/>
      <c r="U10" s="42"/>
    </row>
    <row r="11" spans="1:21" ht="15" thickBot="1">
      <c r="A11" s="3" t="s">
        <v>14</v>
      </c>
      <c r="B11" s="4" t="s">
        <v>15</v>
      </c>
      <c r="C11" s="2">
        <v>43000.152000000002</v>
      </c>
      <c r="D11" s="5">
        <v>6.2500220000000004</v>
      </c>
      <c r="E11" s="5">
        <v>49.76</v>
      </c>
      <c r="F11" s="35">
        <f t="shared" si="0"/>
        <v>0.49759999999999999</v>
      </c>
      <c r="G11" s="9">
        <v>5.03</v>
      </c>
      <c r="H11" s="9">
        <v>2.62</v>
      </c>
      <c r="I11" s="9">
        <v>1.35</v>
      </c>
      <c r="J11" s="9">
        <v>4.75</v>
      </c>
      <c r="K11" s="9">
        <v>3.4</v>
      </c>
      <c r="L11" s="9">
        <v>0.72</v>
      </c>
      <c r="M11" s="36">
        <f t="shared" si="1"/>
        <v>2.3635999999999999</v>
      </c>
      <c r="N11" s="74">
        <f t="shared" ref="N11" si="3">SUM(M11:M12)</f>
        <v>3.8456800000000002</v>
      </c>
      <c r="O11" s="43"/>
      <c r="P11" s="43"/>
      <c r="Q11" s="44"/>
      <c r="R11" s="43"/>
      <c r="S11" s="43"/>
      <c r="T11" s="43"/>
      <c r="U11" s="42"/>
    </row>
    <row r="12" spans="1:21" ht="15" thickBot="1">
      <c r="A12" s="5"/>
      <c r="B12" s="4" t="s">
        <v>16</v>
      </c>
      <c r="C12" s="2">
        <v>43407.589</v>
      </c>
      <c r="D12" s="5">
        <v>6.3092430000000004</v>
      </c>
      <c r="E12" s="5">
        <v>50.24</v>
      </c>
      <c r="F12" s="35">
        <f t="shared" si="0"/>
        <v>0.50240000000000007</v>
      </c>
      <c r="G12" s="9">
        <v>19.59</v>
      </c>
      <c r="H12" s="9">
        <v>0.56000000000000005</v>
      </c>
      <c r="I12" s="9">
        <v>1.37</v>
      </c>
      <c r="J12" s="9">
        <v>2.95</v>
      </c>
      <c r="K12" s="9">
        <v>1.58</v>
      </c>
      <c r="L12" s="9">
        <v>0.54</v>
      </c>
      <c r="M12" s="36">
        <f t="shared" si="1"/>
        <v>1.4820800000000003</v>
      </c>
      <c r="N12" s="74"/>
      <c r="O12" s="43"/>
      <c r="P12" s="43"/>
      <c r="Q12" s="44"/>
      <c r="R12" s="43"/>
      <c r="S12" s="43"/>
      <c r="T12" s="43"/>
      <c r="U12" s="42"/>
    </row>
    <row r="13" spans="1:21" s="28" customFormat="1" ht="15" thickBot="1">
      <c r="A13" s="23" t="s">
        <v>17</v>
      </c>
      <c r="B13" s="24" t="s">
        <v>18</v>
      </c>
      <c r="C13" s="25">
        <v>422.93299999999999</v>
      </c>
      <c r="D13" s="26">
        <v>6.1473E-2</v>
      </c>
      <c r="E13" s="26">
        <v>51.52</v>
      </c>
      <c r="F13" s="35">
        <f t="shared" si="0"/>
        <v>0.51519999999999999</v>
      </c>
      <c r="G13" s="27">
        <v>99.75</v>
      </c>
      <c r="H13" s="27">
        <v>1.3</v>
      </c>
      <c r="I13" s="27">
        <v>1.47</v>
      </c>
      <c r="J13" s="27">
        <v>3.37</v>
      </c>
      <c r="K13" s="27">
        <v>1.9</v>
      </c>
      <c r="L13" s="27">
        <v>0.56000000000000005</v>
      </c>
      <c r="M13" s="39">
        <f t="shared" si="1"/>
        <v>1.736224</v>
      </c>
      <c r="N13" s="76">
        <f>SUM(M13:M15)</f>
        <v>3.6551269999999998</v>
      </c>
      <c r="O13" s="43"/>
      <c r="P13" s="43"/>
      <c r="Q13" s="44"/>
      <c r="R13" s="43"/>
      <c r="S13" s="43"/>
      <c r="T13" s="43"/>
      <c r="U13" s="42"/>
    </row>
    <row r="14" spans="1:21" s="28" customFormat="1" ht="15" thickBot="1">
      <c r="A14" s="26"/>
      <c r="B14" s="24" t="s">
        <v>19</v>
      </c>
      <c r="C14" s="25">
        <v>65.084999999999994</v>
      </c>
      <c r="D14" s="26">
        <v>9.4599999999999997E-3</v>
      </c>
      <c r="E14" s="26">
        <v>7.93</v>
      </c>
      <c r="F14" s="35">
        <f t="shared" si="0"/>
        <v>7.9299999999999995E-2</v>
      </c>
      <c r="G14" s="27">
        <v>21</v>
      </c>
      <c r="H14" s="27">
        <v>1</v>
      </c>
      <c r="I14" s="27">
        <v>1.92</v>
      </c>
      <c r="J14" s="27">
        <v>2.21</v>
      </c>
      <c r="K14" s="27">
        <v>0.28999999999999998</v>
      </c>
      <c r="L14" s="27">
        <v>0.13</v>
      </c>
      <c r="M14" s="39">
        <f t="shared" si="1"/>
        <v>0.17525299999999999</v>
      </c>
      <c r="N14" s="76"/>
      <c r="O14" s="43"/>
      <c r="P14" s="43"/>
      <c r="Q14" s="44"/>
      <c r="R14" s="43"/>
      <c r="S14" s="43"/>
      <c r="T14" s="43"/>
      <c r="U14" s="42"/>
    </row>
    <row r="15" spans="1:21" s="28" customFormat="1" ht="15" thickBot="1">
      <c r="A15" s="26"/>
      <c r="B15" s="24" t="s">
        <v>20</v>
      </c>
      <c r="C15" s="25">
        <v>316.12200000000001</v>
      </c>
      <c r="D15" s="26">
        <v>4.5948000000000003E-2</v>
      </c>
      <c r="E15" s="26">
        <v>40.549999999999997</v>
      </c>
      <c r="F15" s="35">
        <f t="shared" si="0"/>
        <v>0.40549999999999997</v>
      </c>
      <c r="G15" s="27">
        <v>19.34</v>
      </c>
      <c r="H15" s="27">
        <v>0.94</v>
      </c>
      <c r="I15" s="27">
        <v>1.55</v>
      </c>
      <c r="J15" s="27">
        <v>4.3</v>
      </c>
      <c r="K15" s="27">
        <v>2.75</v>
      </c>
      <c r="L15" s="27">
        <v>0.64</v>
      </c>
      <c r="M15" s="39">
        <f t="shared" si="1"/>
        <v>1.7436499999999997</v>
      </c>
      <c r="N15" s="76"/>
      <c r="O15" s="43"/>
      <c r="P15" s="43"/>
      <c r="Q15" s="44"/>
      <c r="R15" s="43"/>
      <c r="S15" s="43"/>
      <c r="T15" s="43"/>
      <c r="U15" s="42"/>
    </row>
    <row r="16" spans="1:21" ht="15" thickBot="1">
      <c r="A16" s="3" t="s">
        <v>21</v>
      </c>
      <c r="B16" s="4" t="s">
        <v>22</v>
      </c>
      <c r="C16" s="2">
        <v>1098.963</v>
      </c>
      <c r="D16" s="5">
        <v>0.15973300000000001</v>
      </c>
      <c r="E16" s="5">
        <v>100</v>
      </c>
      <c r="F16" s="35">
        <f t="shared" si="0"/>
        <v>1</v>
      </c>
      <c r="G16" s="9">
        <v>55.59</v>
      </c>
      <c r="H16" s="9">
        <v>0.39</v>
      </c>
      <c r="I16" s="9">
        <v>0.8</v>
      </c>
      <c r="J16" s="9">
        <v>1.39</v>
      </c>
      <c r="K16" s="9">
        <v>0.59</v>
      </c>
      <c r="L16" s="9">
        <v>0.42</v>
      </c>
      <c r="M16" s="36">
        <f t="shared" si="1"/>
        <v>1.39</v>
      </c>
      <c r="N16" s="47">
        <f>M16</f>
        <v>1.39</v>
      </c>
      <c r="O16" s="43"/>
      <c r="P16" s="43"/>
      <c r="Q16" s="44"/>
      <c r="R16" s="43"/>
      <c r="S16" s="43"/>
      <c r="T16" s="43"/>
      <c r="U16" s="42"/>
    </row>
    <row r="17" spans="1:21" s="34" customFormat="1" ht="15" thickBot="1">
      <c r="A17" s="29" t="s">
        <v>23</v>
      </c>
      <c r="B17" s="30" t="s">
        <v>24</v>
      </c>
      <c r="C17" s="31">
        <v>633.35</v>
      </c>
      <c r="D17" s="32">
        <v>9.2057E-2</v>
      </c>
      <c r="E17" s="32">
        <v>100</v>
      </c>
      <c r="F17" s="35">
        <f t="shared" si="0"/>
        <v>1</v>
      </c>
      <c r="G17" s="33">
        <v>34.909999999999997</v>
      </c>
      <c r="H17" s="33">
        <v>0.38</v>
      </c>
      <c r="I17" s="33">
        <v>0.91</v>
      </c>
      <c r="J17" s="33">
        <v>1.19</v>
      </c>
      <c r="K17" s="33">
        <v>0.28000000000000003</v>
      </c>
      <c r="L17" s="33">
        <v>0.24</v>
      </c>
      <c r="M17" s="40">
        <f t="shared" si="1"/>
        <v>1.19</v>
      </c>
      <c r="N17" s="47">
        <f t="shared" ref="N17:N18" si="4">M17</f>
        <v>1.19</v>
      </c>
      <c r="O17" s="43"/>
      <c r="P17" s="43"/>
      <c r="Q17" s="44"/>
      <c r="R17" s="43"/>
      <c r="S17" s="43"/>
      <c r="T17" s="43"/>
      <c r="U17" s="42"/>
    </row>
    <row r="18" spans="1:21" ht="15" thickBot="1">
      <c r="A18" s="3" t="s">
        <v>25</v>
      </c>
      <c r="B18" s="4" t="s">
        <v>26</v>
      </c>
      <c r="C18" s="2">
        <v>0.68200000000000005</v>
      </c>
      <c r="D18" s="5">
        <v>9.8999999999999994E-5</v>
      </c>
      <c r="E18" s="5">
        <v>100</v>
      </c>
      <c r="F18" s="35">
        <f t="shared" si="0"/>
        <v>1</v>
      </c>
      <c r="G18" s="9">
        <v>17.100000000000001</v>
      </c>
      <c r="H18" s="9">
        <v>1.4</v>
      </c>
      <c r="I18" s="9">
        <v>2.52</v>
      </c>
      <c r="J18" s="9">
        <v>3.79</v>
      </c>
      <c r="K18" s="9">
        <v>1.89</v>
      </c>
      <c r="L18" s="9">
        <v>0.5</v>
      </c>
      <c r="M18" s="36">
        <f t="shared" si="1"/>
        <v>3.79</v>
      </c>
      <c r="N18" s="47">
        <f t="shared" si="4"/>
        <v>3.79</v>
      </c>
      <c r="O18" s="43"/>
      <c r="P18" s="43"/>
      <c r="Q18" s="44"/>
      <c r="R18" s="43"/>
      <c r="S18" s="43"/>
      <c r="T18" s="43"/>
      <c r="U18" s="42"/>
    </row>
    <row r="19" spans="1:21" ht="15" thickBot="1">
      <c r="O19" s="2"/>
      <c r="P19" s="2"/>
    </row>
    <row r="20" spans="1:21" ht="15" thickBot="1">
      <c r="O20" s="2"/>
      <c r="P20" s="2"/>
      <c r="Q20" s="45"/>
    </row>
    <row r="21" spans="1:21" ht="15" thickBot="1">
      <c r="O21" s="2"/>
      <c r="P21" s="2"/>
    </row>
    <row r="22" spans="1:21" ht="15" thickBot="1">
      <c r="O22" s="2"/>
      <c r="P22" s="2"/>
    </row>
    <row r="23" spans="1:21" ht="15" thickBot="1">
      <c r="O23" s="2"/>
      <c r="P23" s="2"/>
    </row>
    <row r="24" spans="1:21" ht="15" thickBot="1">
      <c r="O24" s="2"/>
      <c r="P24" s="2"/>
    </row>
    <row r="25" spans="1:21" ht="15" thickBot="1">
      <c r="O25" s="2"/>
      <c r="P25" s="2"/>
    </row>
    <row r="26" spans="1:21" ht="15" thickBot="1">
      <c r="O26" s="2"/>
      <c r="P26" s="2"/>
    </row>
    <row r="27" spans="1:21" ht="15" thickBot="1">
      <c r="O27" s="2"/>
      <c r="P27" s="2"/>
    </row>
    <row r="28" spans="1:21" ht="15" thickBot="1">
      <c r="O28" s="2"/>
      <c r="P28" s="2"/>
    </row>
    <row r="29" spans="1:21" ht="15" thickBot="1">
      <c r="O29" s="2"/>
      <c r="P29" s="2"/>
    </row>
    <row r="30" spans="1:21" ht="15" thickBot="1">
      <c r="O30" s="2"/>
      <c r="P30" s="2"/>
    </row>
    <row r="31" spans="1:21" ht="15" thickBot="1">
      <c r="O31" s="2"/>
      <c r="P31" s="2"/>
    </row>
    <row r="32" spans="1:21" ht="15" thickBot="1">
      <c r="O32" s="2"/>
      <c r="P32" s="2"/>
    </row>
    <row r="33" spans="15:16" ht="15" thickBot="1">
      <c r="O33" s="2"/>
      <c r="P33" s="2"/>
    </row>
    <row r="34" spans="15:16" ht="15" thickBot="1">
      <c r="O34" s="2"/>
      <c r="P34" s="2"/>
    </row>
    <row r="35" spans="15:16" ht="15" thickBot="1">
      <c r="O35" s="2"/>
      <c r="P35" s="2"/>
    </row>
  </sheetData>
  <mergeCells count="5">
    <mergeCell ref="N2:N6"/>
    <mergeCell ref="N7:N8"/>
    <mergeCell ref="N9:N10"/>
    <mergeCell ref="N11:N12"/>
    <mergeCell ref="N13:N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4F51-0C6F-46CB-99C3-B46B9A1D1CCC}">
  <sheetPr codeName="Sheet6"/>
  <dimension ref="A1:W18"/>
  <sheetViews>
    <sheetView workbookViewId="0">
      <selection activeCell="N24" sqref="N24"/>
    </sheetView>
  </sheetViews>
  <sheetFormatPr defaultRowHeight="13.8"/>
  <cols>
    <col min="1" max="1" width="17.88671875" style="54" bestFit="1" customWidth="1"/>
    <col min="2" max="2" width="17.33203125" style="54" bestFit="1" customWidth="1"/>
    <col min="3" max="3" width="11.44140625" style="54" bestFit="1" customWidth="1"/>
    <col min="4" max="4" width="8.77734375" style="54" bestFit="1" customWidth="1"/>
    <col min="5" max="5" width="9.21875" style="54" bestFit="1" customWidth="1"/>
    <col min="6" max="6" width="8.44140625" style="54" bestFit="1" customWidth="1"/>
    <col min="7" max="7" width="14.88671875" style="54" bestFit="1" customWidth="1"/>
    <col min="8" max="10" width="8.44140625" style="54" bestFit="1" customWidth="1"/>
    <col min="11" max="11" width="14.88671875" style="54" bestFit="1" customWidth="1"/>
    <col min="12" max="12" width="15.88671875" style="54" bestFit="1" customWidth="1"/>
    <col min="13" max="13" width="14.6640625" style="54" bestFit="1" customWidth="1"/>
    <col min="14" max="14" width="22.21875" style="54" bestFit="1" customWidth="1"/>
    <col min="15" max="16384" width="8.88671875" style="54"/>
  </cols>
  <sheetData>
    <row r="1" spans="1:23" ht="14.4" thickBot="1">
      <c r="A1" s="3" t="s">
        <v>0</v>
      </c>
      <c r="B1" s="3" t="s">
        <v>60</v>
      </c>
      <c r="C1" s="3" t="s">
        <v>59</v>
      </c>
      <c r="D1" s="3" t="s">
        <v>30</v>
      </c>
      <c r="E1" s="3" t="s">
        <v>61</v>
      </c>
      <c r="F1" s="3" t="s">
        <v>62</v>
      </c>
      <c r="G1" s="3" t="s">
        <v>63</v>
      </c>
      <c r="H1" s="3" t="s">
        <v>69</v>
      </c>
      <c r="I1" s="3" t="s">
        <v>70</v>
      </c>
      <c r="J1" s="3" t="s">
        <v>71</v>
      </c>
      <c r="K1" s="3" t="s">
        <v>88</v>
      </c>
      <c r="L1" s="46" t="s">
        <v>89</v>
      </c>
      <c r="M1" s="3" t="s">
        <v>90</v>
      </c>
      <c r="N1" s="3" t="s">
        <v>36</v>
      </c>
    </row>
    <row r="2" spans="1:23" s="57" customFormat="1" ht="14.4" thickBot="1">
      <c r="A2" s="13" t="s">
        <v>37</v>
      </c>
      <c r="B2" s="14" t="s">
        <v>3</v>
      </c>
      <c r="C2" s="61">
        <v>6.8199999999999997E-2</v>
      </c>
      <c r="D2" s="62">
        <v>93.28</v>
      </c>
      <c r="E2" s="63">
        <v>1.54E-2</v>
      </c>
      <c r="F2" s="63">
        <v>2.9710000000000001</v>
      </c>
      <c r="G2" s="63">
        <f>E2*D2^F2</f>
        <v>10958.786485966652</v>
      </c>
      <c r="H2" s="63">
        <v>3.1</v>
      </c>
      <c r="I2" s="63">
        <v>1</v>
      </c>
      <c r="J2" s="63">
        <v>0</v>
      </c>
      <c r="K2" s="56">
        <f>10^(7.964-0.204*LOG(G2)-1.965*3.33167+0.083*H2+0.532*I2+0.398*J2)</f>
        <v>24.124421456363418</v>
      </c>
      <c r="L2" s="56">
        <f>K2*C2</f>
        <v>1.645285543323985</v>
      </c>
      <c r="M2" s="77">
        <f>SUM(L2:L6)</f>
        <v>33.687570056359434</v>
      </c>
      <c r="N2" s="48" t="s">
        <v>72</v>
      </c>
      <c r="O2" s="55"/>
      <c r="P2" s="55"/>
      <c r="Q2" s="43"/>
      <c r="R2" s="43"/>
      <c r="S2" s="44"/>
      <c r="T2" s="43"/>
      <c r="U2" s="43"/>
      <c r="V2" s="43"/>
      <c r="W2" s="42"/>
    </row>
    <row r="3" spans="1:23" ht="14.4" thickBot="1">
      <c r="A3" s="13" t="s">
        <v>37</v>
      </c>
      <c r="B3" s="14" t="s">
        <v>4</v>
      </c>
      <c r="C3" s="61">
        <v>0.115</v>
      </c>
      <c r="D3" s="62">
        <v>93.68</v>
      </c>
      <c r="E3" s="63">
        <v>4.7000000000000002E-3</v>
      </c>
      <c r="F3" s="63">
        <v>3.2930000000000001</v>
      </c>
      <c r="G3" s="63">
        <f t="shared" ref="G3:G18" si="0">E3*D3^F3</f>
        <v>14612.719255978847</v>
      </c>
      <c r="H3" s="63">
        <v>3.2</v>
      </c>
      <c r="I3" s="63">
        <v>0</v>
      </c>
      <c r="J3" s="63">
        <v>0</v>
      </c>
      <c r="K3" s="56">
        <f t="shared" ref="K3:K18" si="1">10^(7.964-0.204*LOG(G3)-1.965*3.33167+0.083*H3+0.532*I3+0.398*J3)</f>
        <v>6.8118224211539733</v>
      </c>
      <c r="L3" s="56">
        <f t="shared" ref="L3:L18" si="2">K3*C3</f>
        <v>0.78335957843270698</v>
      </c>
      <c r="M3" s="77"/>
      <c r="N3" s="48" t="s">
        <v>80</v>
      </c>
    </row>
    <row r="4" spans="1:23" ht="14.4" thickBot="1">
      <c r="A4" s="13" t="s">
        <v>37</v>
      </c>
      <c r="B4" s="14" t="s">
        <v>5</v>
      </c>
      <c r="C4" s="61">
        <v>3.32E-2</v>
      </c>
      <c r="D4" s="62">
        <v>73</v>
      </c>
      <c r="E4" s="63">
        <v>1.14E-2</v>
      </c>
      <c r="F4" s="63">
        <v>3.0009999999999999</v>
      </c>
      <c r="G4" s="63">
        <f t="shared" si="0"/>
        <v>4453.861979303063</v>
      </c>
      <c r="H4" s="63">
        <v>3</v>
      </c>
      <c r="I4" s="63">
        <v>0</v>
      </c>
      <c r="J4" s="63">
        <v>1</v>
      </c>
      <c r="K4" s="56">
        <f t="shared" si="1"/>
        <v>20.889408947564522</v>
      </c>
      <c r="L4" s="56">
        <f t="shared" si="2"/>
        <v>0.69352837705914216</v>
      </c>
      <c r="M4" s="77"/>
      <c r="N4" s="48" t="s">
        <v>73</v>
      </c>
    </row>
    <row r="5" spans="1:23" ht="14.4" thickBot="1">
      <c r="A5" s="13" t="s">
        <v>37</v>
      </c>
      <c r="B5" s="14" t="s">
        <v>6</v>
      </c>
      <c r="C5" s="61">
        <v>0.28010000000000002</v>
      </c>
      <c r="D5" s="62">
        <v>49.3</v>
      </c>
      <c r="E5" s="63">
        <v>3.5999999999999999E-3</v>
      </c>
      <c r="F5" s="63">
        <v>3.47</v>
      </c>
      <c r="G5" s="63">
        <f t="shared" si="0"/>
        <v>2694.5193744547237</v>
      </c>
      <c r="H5" s="63">
        <v>3</v>
      </c>
      <c r="I5" s="63">
        <v>1</v>
      </c>
      <c r="J5" s="63">
        <v>0</v>
      </c>
      <c r="K5" s="56">
        <f t="shared" si="1"/>
        <v>31.510134911781968</v>
      </c>
      <c r="L5" s="56">
        <f t="shared" si="2"/>
        <v>8.8259887887901289</v>
      </c>
      <c r="M5" s="77"/>
      <c r="N5" s="48" t="s">
        <v>81</v>
      </c>
    </row>
    <row r="6" spans="1:23" ht="14.4" thickBot="1">
      <c r="A6" s="13" t="s">
        <v>37</v>
      </c>
      <c r="B6" s="14" t="s">
        <v>7</v>
      </c>
      <c r="C6" s="61">
        <v>0.50350000000000006</v>
      </c>
      <c r="D6" s="62">
        <v>32.1</v>
      </c>
      <c r="E6" s="63">
        <v>1.2E-2</v>
      </c>
      <c r="F6" s="63">
        <v>3.08</v>
      </c>
      <c r="G6" s="63">
        <f t="shared" si="0"/>
        <v>523.86181809798825</v>
      </c>
      <c r="H6" s="63">
        <v>2.9</v>
      </c>
      <c r="I6" s="63">
        <v>1</v>
      </c>
      <c r="J6" s="63">
        <v>0</v>
      </c>
      <c r="K6" s="56">
        <f t="shared" si="1"/>
        <v>43.176579481138951</v>
      </c>
      <c r="L6" s="56">
        <f t="shared" si="2"/>
        <v>21.739407768753466</v>
      </c>
      <c r="M6" s="77"/>
      <c r="N6" s="48" t="s">
        <v>82</v>
      </c>
    </row>
    <row r="7" spans="1:23" ht="14.4" thickBot="1">
      <c r="A7" s="2" t="s">
        <v>43</v>
      </c>
      <c r="B7" s="5" t="s">
        <v>9</v>
      </c>
      <c r="C7" s="64">
        <v>0.88840000000000008</v>
      </c>
      <c r="D7" s="62">
        <v>63</v>
      </c>
      <c r="E7" s="65">
        <v>1.0699999999999999E-2</v>
      </c>
      <c r="F7" s="65">
        <v>2.9329999999999998</v>
      </c>
      <c r="G7" s="65">
        <f t="shared" si="0"/>
        <v>2026.9806798228335</v>
      </c>
      <c r="H7" s="65">
        <v>1.3</v>
      </c>
      <c r="I7" s="65">
        <v>0</v>
      </c>
      <c r="J7" s="65">
        <v>0</v>
      </c>
      <c r="K7" s="58">
        <f t="shared" si="1"/>
        <v>7.0887739846160098</v>
      </c>
      <c r="L7" s="58">
        <f t="shared" si="2"/>
        <v>6.2976668079328633</v>
      </c>
      <c r="M7" s="78">
        <f>SUM(L7:L8)</f>
        <v>7.3968907666719312</v>
      </c>
      <c r="N7" s="48" t="s">
        <v>83</v>
      </c>
    </row>
    <row r="8" spans="1:23" ht="14.4" thickBot="1">
      <c r="A8" s="2" t="s">
        <v>43</v>
      </c>
      <c r="B8" s="5" t="s">
        <v>10</v>
      </c>
      <c r="C8" s="64">
        <v>0.1116</v>
      </c>
      <c r="D8" s="62">
        <v>24</v>
      </c>
      <c r="E8" s="65">
        <v>4.5699999999999998E-2</v>
      </c>
      <c r="F8" s="65">
        <v>2.83</v>
      </c>
      <c r="G8" s="65">
        <f t="shared" si="0"/>
        <v>368.05609506814437</v>
      </c>
      <c r="H8" s="65">
        <v>1.2</v>
      </c>
      <c r="I8" s="65">
        <v>0</v>
      </c>
      <c r="J8" s="65">
        <v>0</v>
      </c>
      <c r="K8" s="58">
        <f t="shared" si="1"/>
        <v>9.8496770496332271</v>
      </c>
      <c r="L8" s="58">
        <f t="shared" si="2"/>
        <v>1.0992239587390682</v>
      </c>
      <c r="M8" s="78"/>
      <c r="N8" s="48" t="s">
        <v>78</v>
      </c>
    </row>
    <row r="9" spans="1:23" ht="14.4" thickBot="1">
      <c r="A9" s="19" t="s">
        <v>46</v>
      </c>
      <c r="B9" s="20" t="s">
        <v>12</v>
      </c>
      <c r="C9" s="66">
        <v>1.49E-2</v>
      </c>
      <c r="D9" s="62">
        <v>40.799999999999997</v>
      </c>
      <c r="E9" s="67">
        <v>1.4E-2</v>
      </c>
      <c r="F9" s="67">
        <v>2.96</v>
      </c>
      <c r="G9" s="67">
        <f t="shared" si="0"/>
        <v>819.75130822556594</v>
      </c>
      <c r="H9" s="67">
        <v>2.8</v>
      </c>
      <c r="I9" s="67">
        <v>0</v>
      </c>
      <c r="J9" s="67">
        <v>0</v>
      </c>
      <c r="K9" s="59">
        <f t="shared" si="1"/>
        <v>11.357357536199302</v>
      </c>
      <c r="L9" s="59">
        <f t="shared" si="2"/>
        <v>0.1692246272893696</v>
      </c>
      <c r="M9" s="79">
        <f t="shared" ref="M9" si="3">SUM(L9:L10)</f>
        <v>24.949115017890612</v>
      </c>
      <c r="N9" s="48" t="s">
        <v>85</v>
      </c>
    </row>
    <row r="10" spans="1:23" ht="14.4" thickBot="1">
      <c r="A10" s="19" t="s">
        <v>46</v>
      </c>
      <c r="B10" s="20" t="s">
        <v>64</v>
      </c>
      <c r="C10" s="66">
        <v>0.98510000000000009</v>
      </c>
      <c r="D10" s="62">
        <v>10.46</v>
      </c>
      <c r="E10" s="67">
        <v>6.7000000000000002E-3</v>
      </c>
      <c r="F10" s="67">
        <v>3.21</v>
      </c>
      <c r="G10" s="67">
        <f t="shared" si="0"/>
        <v>12.553693180769249</v>
      </c>
      <c r="H10" s="67">
        <v>2.5</v>
      </c>
      <c r="I10" s="67">
        <v>0</v>
      </c>
      <c r="J10" s="67">
        <v>0</v>
      </c>
      <c r="K10" s="59">
        <f t="shared" si="1"/>
        <v>25.154695351336148</v>
      </c>
      <c r="L10" s="59">
        <f t="shared" si="2"/>
        <v>24.779890390601242</v>
      </c>
      <c r="M10" s="79"/>
      <c r="N10" s="48" t="s">
        <v>74</v>
      </c>
    </row>
    <row r="11" spans="1:23" ht="14.4" thickBot="1">
      <c r="A11" s="2" t="s">
        <v>49</v>
      </c>
      <c r="B11" s="5" t="s">
        <v>15</v>
      </c>
      <c r="C11" s="64">
        <v>0.49759999999999999</v>
      </c>
      <c r="D11" s="62">
        <v>5.03</v>
      </c>
      <c r="E11" s="65">
        <v>8.3999999999999995E-3</v>
      </c>
      <c r="F11" s="65">
        <v>2.968</v>
      </c>
      <c r="G11" s="65">
        <f t="shared" si="0"/>
        <v>1.015156654212696</v>
      </c>
      <c r="H11" s="65">
        <v>3.5</v>
      </c>
      <c r="I11" s="65">
        <v>0</v>
      </c>
      <c r="J11" s="65">
        <v>0</v>
      </c>
      <c r="K11" s="58">
        <f t="shared" si="1"/>
        <v>50.866950776734058</v>
      </c>
      <c r="L11" s="58">
        <f t="shared" si="2"/>
        <v>25.311394706502867</v>
      </c>
      <c r="M11" s="78">
        <f t="shared" ref="M11" si="4">SUM(L11:L12)</f>
        <v>36.376322387464242</v>
      </c>
      <c r="N11" s="48" t="s">
        <v>75</v>
      </c>
    </row>
    <row r="12" spans="1:23" ht="14.4" thickBot="1">
      <c r="A12" s="2" t="s">
        <v>49</v>
      </c>
      <c r="B12" s="5" t="s">
        <v>16</v>
      </c>
      <c r="C12" s="64">
        <v>0.50240000000000007</v>
      </c>
      <c r="D12" s="62">
        <v>19.59</v>
      </c>
      <c r="E12" s="65">
        <v>7.9000000000000008E-3</v>
      </c>
      <c r="F12" s="65">
        <v>2.98</v>
      </c>
      <c r="G12" s="65">
        <f t="shared" si="0"/>
        <v>55.961546863433639</v>
      </c>
      <c r="H12" s="65">
        <v>3.4</v>
      </c>
      <c r="I12" s="65">
        <v>0</v>
      </c>
      <c r="J12" s="65">
        <v>0</v>
      </c>
      <c r="K12" s="58">
        <f t="shared" si="1"/>
        <v>22.024139492359417</v>
      </c>
      <c r="L12" s="58">
        <f t="shared" si="2"/>
        <v>11.064927680961373</v>
      </c>
      <c r="M12" s="78"/>
      <c r="N12" s="48" t="s">
        <v>84</v>
      </c>
    </row>
    <row r="13" spans="1:23" ht="14.4" thickBot="1">
      <c r="A13" s="25" t="s">
        <v>52</v>
      </c>
      <c r="B13" s="26" t="s">
        <v>18</v>
      </c>
      <c r="C13" s="68">
        <v>0.51519999999999999</v>
      </c>
      <c r="D13" s="62">
        <v>99.75</v>
      </c>
      <c r="E13" s="69">
        <v>7.4000000000000003E-3</v>
      </c>
      <c r="F13" s="69">
        <v>3.05</v>
      </c>
      <c r="G13" s="69">
        <f t="shared" si="0"/>
        <v>9245.1950484928911</v>
      </c>
      <c r="H13" s="69">
        <v>1.2</v>
      </c>
      <c r="I13" s="69">
        <v>0</v>
      </c>
      <c r="J13" s="69">
        <v>0</v>
      </c>
      <c r="K13" s="60">
        <f t="shared" si="1"/>
        <v>5.1029530204192</v>
      </c>
      <c r="L13" s="60">
        <f t="shared" si="2"/>
        <v>2.6290413961199719</v>
      </c>
      <c r="M13" s="80">
        <f>SUM(L13:L15)</f>
        <v>9.469223052076968</v>
      </c>
      <c r="N13" s="48" t="s">
        <v>75</v>
      </c>
    </row>
    <row r="14" spans="1:23" ht="14.4" thickBot="1">
      <c r="A14" s="25" t="s">
        <v>52</v>
      </c>
      <c r="B14" s="26" t="s">
        <v>19</v>
      </c>
      <c r="C14" s="68">
        <v>7.9299999999999995E-2</v>
      </c>
      <c r="D14" s="62">
        <v>21</v>
      </c>
      <c r="E14" s="69">
        <v>4.7999999999999996E-3</v>
      </c>
      <c r="F14" s="69">
        <v>3.1</v>
      </c>
      <c r="G14" s="69">
        <f t="shared" si="0"/>
        <v>60.272756112440248</v>
      </c>
      <c r="H14" s="69">
        <v>1.3</v>
      </c>
      <c r="I14" s="69">
        <v>0</v>
      </c>
      <c r="J14" s="69">
        <v>0</v>
      </c>
      <c r="K14" s="60">
        <f t="shared" si="1"/>
        <v>14.521910491872809</v>
      </c>
      <c r="L14" s="60">
        <f t="shared" si="2"/>
        <v>1.1515875020055137</v>
      </c>
      <c r="M14" s="80"/>
      <c r="N14" s="48" t="s">
        <v>76</v>
      </c>
    </row>
    <row r="15" spans="1:23" ht="14.4" thickBot="1">
      <c r="A15" s="25" t="s">
        <v>52</v>
      </c>
      <c r="B15" s="26" t="s">
        <v>65</v>
      </c>
      <c r="C15" s="68">
        <v>0.40549999999999997</v>
      </c>
      <c r="D15" s="62">
        <v>19.34</v>
      </c>
      <c r="E15" s="69">
        <v>4.7899999999999998E-2</v>
      </c>
      <c r="F15" s="69">
        <v>2.5299999999999998</v>
      </c>
      <c r="G15" s="69">
        <f t="shared" si="0"/>
        <v>86.113329635850519</v>
      </c>
      <c r="H15" s="69">
        <v>1.5</v>
      </c>
      <c r="I15" s="69">
        <v>0</v>
      </c>
      <c r="J15" s="69">
        <v>0</v>
      </c>
      <c r="K15" s="60">
        <f t="shared" si="1"/>
        <v>14.028592241557293</v>
      </c>
      <c r="L15" s="60">
        <f t="shared" si="2"/>
        <v>5.6885941539514819</v>
      </c>
      <c r="M15" s="80"/>
      <c r="N15" s="48" t="s">
        <v>86</v>
      </c>
    </row>
    <row r="16" spans="1:23" ht="14.4" thickBot="1">
      <c r="A16" s="2" t="s">
        <v>55</v>
      </c>
      <c r="B16" s="5" t="s">
        <v>66</v>
      </c>
      <c r="C16" s="64">
        <v>1</v>
      </c>
      <c r="D16" s="62">
        <v>55.59</v>
      </c>
      <c r="E16" s="65">
        <v>3.6600000000000001E-2</v>
      </c>
      <c r="F16" s="65">
        <v>2.8439999999999999</v>
      </c>
      <c r="G16" s="65">
        <f t="shared" si="0"/>
        <v>3359.3219399394548</v>
      </c>
      <c r="H16" s="65">
        <v>2.6</v>
      </c>
      <c r="I16" s="65">
        <v>1</v>
      </c>
      <c r="J16" s="65">
        <v>0</v>
      </c>
      <c r="K16" s="58">
        <f t="shared" si="1"/>
        <v>27.90699780510489</v>
      </c>
      <c r="L16" s="58">
        <f t="shared" si="2"/>
        <v>27.90699780510489</v>
      </c>
      <c r="M16" s="58">
        <f>L16</f>
        <v>27.90699780510489</v>
      </c>
      <c r="N16" s="48" t="s">
        <v>80</v>
      </c>
    </row>
    <row r="17" spans="1:14" ht="14.4" thickBot="1">
      <c r="A17" s="31" t="s">
        <v>56</v>
      </c>
      <c r="B17" s="32" t="s">
        <v>67</v>
      </c>
      <c r="C17" s="70">
        <v>1</v>
      </c>
      <c r="D17" s="62">
        <v>34.909999999999997</v>
      </c>
      <c r="E17" s="71">
        <v>1.7600000000000001E-2</v>
      </c>
      <c r="F17" s="71">
        <v>2.99</v>
      </c>
      <c r="G17" s="71">
        <f t="shared" si="0"/>
        <v>722.6578352354735</v>
      </c>
      <c r="H17" s="71">
        <v>1.1000000000000001</v>
      </c>
      <c r="I17" s="71">
        <v>0</v>
      </c>
      <c r="J17" s="71">
        <v>0</v>
      </c>
      <c r="K17" s="72">
        <f t="shared" si="1"/>
        <v>8.4206608479402245</v>
      </c>
      <c r="L17" s="72">
        <f t="shared" si="2"/>
        <v>8.4206608479402245</v>
      </c>
      <c r="M17" s="58">
        <f t="shared" ref="M17:M18" si="5">L17</f>
        <v>8.4206608479402245</v>
      </c>
      <c r="N17" s="48" t="s">
        <v>77</v>
      </c>
    </row>
    <row r="18" spans="1:14" ht="14.4" thickBot="1">
      <c r="A18" s="2" t="s">
        <v>58</v>
      </c>
      <c r="B18" s="5" t="s">
        <v>68</v>
      </c>
      <c r="C18" s="64">
        <v>1</v>
      </c>
      <c r="D18" s="62">
        <v>17.100000000000001</v>
      </c>
      <c r="E18" s="65">
        <v>1.9E-2</v>
      </c>
      <c r="F18" s="65">
        <v>2.88</v>
      </c>
      <c r="G18" s="65">
        <f t="shared" si="0"/>
        <v>67.574431218658773</v>
      </c>
      <c r="H18" s="65">
        <v>1.3</v>
      </c>
      <c r="I18" s="65">
        <v>0</v>
      </c>
      <c r="J18" s="65">
        <v>0</v>
      </c>
      <c r="K18" s="58">
        <f t="shared" si="1"/>
        <v>14.187074215608828</v>
      </c>
      <c r="L18" s="58">
        <f t="shared" si="2"/>
        <v>14.187074215608828</v>
      </c>
      <c r="M18" s="58">
        <f t="shared" si="5"/>
        <v>14.187074215608828</v>
      </c>
      <c r="N18" s="48" t="s">
        <v>87</v>
      </c>
    </row>
  </sheetData>
  <mergeCells count="5">
    <mergeCell ref="M2:M6"/>
    <mergeCell ref="M7:M8"/>
    <mergeCell ref="M9:M10"/>
    <mergeCell ref="M11:M12"/>
    <mergeCell ref="M13:M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3BCF-F218-4CCC-BFE1-C48E0CCEEFC4}">
  <sheetPr codeName="Sheet7"/>
  <dimension ref="A1:N17"/>
  <sheetViews>
    <sheetView workbookViewId="0">
      <selection activeCell="J25" sqref="J25"/>
    </sheetView>
  </sheetViews>
  <sheetFormatPr defaultRowHeight="14.4"/>
  <cols>
    <col min="1" max="1" width="18.5546875" bestFit="1" customWidth="1"/>
    <col min="2" max="2" width="7.77734375" bestFit="1" customWidth="1"/>
    <col min="3" max="3" width="14.109375" bestFit="1" customWidth="1"/>
    <col min="4" max="4" width="11.88671875" bestFit="1" customWidth="1"/>
    <col min="5" max="5" width="10.6640625" bestFit="1" customWidth="1"/>
    <col min="6" max="6" width="10" bestFit="1" customWidth="1"/>
    <col min="7" max="7" width="9.5546875" bestFit="1" customWidth="1"/>
    <col min="8" max="8" width="11.88671875" bestFit="1" customWidth="1"/>
    <col min="9" max="9" width="10.44140625" bestFit="1" customWidth="1"/>
    <col min="10" max="10" width="9.33203125" bestFit="1" customWidth="1"/>
    <col min="11" max="11" width="10.21875" bestFit="1" customWidth="1"/>
    <col min="12" max="12" width="9.6640625" bestFit="1" customWidth="1"/>
    <col min="13" max="13" width="10.5546875" bestFit="1" customWidth="1"/>
    <col min="14" max="14" width="12" bestFit="1" customWidth="1"/>
  </cols>
  <sheetData>
    <row r="1" spans="1:14" ht="15" thickBot="1">
      <c r="A1" s="3" t="s">
        <v>91</v>
      </c>
      <c r="B1" s="3" t="s">
        <v>37</v>
      </c>
      <c r="C1" s="3" t="s">
        <v>43</v>
      </c>
      <c r="D1" s="3" t="s">
        <v>46</v>
      </c>
      <c r="E1" s="3" t="s">
        <v>49</v>
      </c>
      <c r="F1" s="3" t="s">
        <v>52</v>
      </c>
      <c r="G1" s="3" t="s">
        <v>55</v>
      </c>
      <c r="H1" s="3" t="s">
        <v>56</v>
      </c>
      <c r="I1" s="3" t="s">
        <v>58</v>
      </c>
      <c r="J1" s="3" t="s">
        <v>92</v>
      </c>
      <c r="K1" s="3" t="s">
        <v>93</v>
      </c>
      <c r="L1" s="3" t="s">
        <v>94</v>
      </c>
      <c r="M1" s="3" t="s">
        <v>95</v>
      </c>
      <c r="N1" s="3" t="s">
        <v>96</v>
      </c>
    </row>
    <row r="2" spans="1:14" ht="15" thickBot="1">
      <c r="A2" s="3" t="s">
        <v>37</v>
      </c>
      <c r="B2" s="9"/>
      <c r="C2" s="9">
        <v>1.2E-2</v>
      </c>
      <c r="D2" s="9"/>
      <c r="E2" s="9"/>
      <c r="F2" s="9">
        <v>0.05</v>
      </c>
      <c r="G2" s="9"/>
      <c r="H2" s="9"/>
      <c r="I2" s="9"/>
      <c r="J2" s="9"/>
      <c r="K2" s="9"/>
      <c r="L2" s="9"/>
      <c r="M2" s="9"/>
      <c r="N2" s="9"/>
    </row>
    <row r="3" spans="1:14" ht="15" thickBot="1">
      <c r="A3" s="3" t="s">
        <v>43</v>
      </c>
      <c r="B3" s="9"/>
      <c r="C3" s="9"/>
      <c r="D3" s="9"/>
      <c r="E3" s="9"/>
      <c r="F3" s="9">
        <v>2.5000000000000001E-2</v>
      </c>
      <c r="G3" s="9"/>
      <c r="H3" s="9"/>
      <c r="I3" s="9"/>
      <c r="J3" s="9"/>
      <c r="K3" s="9"/>
      <c r="L3" s="9"/>
      <c r="M3" s="9"/>
      <c r="N3" s="9"/>
    </row>
    <row r="4" spans="1:14" ht="15" thickBot="1">
      <c r="A4" s="3" t="s">
        <v>46</v>
      </c>
      <c r="B4" s="9"/>
      <c r="C4" s="9">
        <v>0.17699999999999999</v>
      </c>
      <c r="D4" s="9"/>
      <c r="E4" s="9"/>
      <c r="F4" s="9">
        <v>0.1</v>
      </c>
      <c r="G4" s="9"/>
      <c r="H4" s="9">
        <v>0.1</v>
      </c>
      <c r="I4" s="9">
        <v>0.15</v>
      </c>
      <c r="J4" s="9"/>
      <c r="K4" s="9"/>
      <c r="L4" s="9"/>
      <c r="M4" s="9"/>
      <c r="N4" s="9"/>
    </row>
    <row r="5" spans="1:14" ht="15" thickBot="1">
      <c r="A5" s="3" t="s">
        <v>49</v>
      </c>
      <c r="B5" s="9"/>
      <c r="C5" s="9">
        <v>0.24099999999999999</v>
      </c>
      <c r="D5" s="9"/>
      <c r="E5" s="9"/>
      <c r="F5" s="9">
        <v>0.47499999999999998</v>
      </c>
      <c r="G5" s="9"/>
      <c r="H5" s="9">
        <v>0.2</v>
      </c>
      <c r="I5" s="9">
        <v>0.2</v>
      </c>
      <c r="J5" s="9"/>
      <c r="K5" s="9"/>
      <c r="L5" s="9"/>
      <c r="M5" s="9"/>
      <c r="N5" s="9"/>
    </row>
    <row r="6" spans="1:14" ht="15" thickBot="1">
      <c r="A6" s="3" t="s">
        <v>52</v>
      </c>
      <c r="B6" s="9"/>
      <c r="C6" s="9">
        <v>1.0999999999999999E-2</v>
      </c>
      <c r="D6" s="9"/>
      <c r="E6" s="9"/>
      <c r="F6" s="9">
        <v>4.4999999999999998E-2</v>
      </c>
      <c r="G6" s="9"/>
      <c r="H6" s="9"/>
      <c r="I6" s="9"/>
      <c r="J6" s="9"/>
      <c r="K6" s="9"/>
      <c r="L6" s="9"/>
      <c r="M6" s="9"/>
      <c r="N6" s="9"/>
    </row>
    <row r="7" spans="1:14" ht="15" thickBot="1">
      <c r="A7" s="3" t="s">
        <v>55</v>
      </c>
      <c r="B7" s="9"/>
      <c r="C7" s="9"/>
      <c r="D7" s="9"/>
      <c r="E7" s="9"/>
      <c r="F7" s="9">
        <v>2.5000000000000001E-2</v>
      </c>
      <c r="G7" s="9"/>
      <c r="H7" s="9"/>
      <c r="I7" s="9"/>
      <c r="J7" s="9"/>
      <c r="K7" s="9"/>
      <c r="L7" s="9"/>
      <c r="M7" s="9"/>
      <c r="N7" s="9"/>
    </row>
    <row r="8" spans="1:14" ht="15" thickBot="1">
      <c r="A8" s="3" t="s">
        <v>56</v>
      </c>
      <c r="B8" s="9"/>
      <c r="C8" s="9"/>
      <c r="D8" s="9"/>
      <c r="E8" s="9"/>
      <c r="F8" s="9">
        <v>3.0000000000000001E-3</v>
      </c>
      <c r="G8" s="9"/>
      <c r="H8" s="9"/>
      <c r="I8" s="9"/>
      <c r="J8" s="9"/>
      <c r="K8" s="9"/>
      <c r="L8" s="9"/>
      <c r="M8" s="9"/>
      <c r="N8" s="9"/>
    </row>
    <row r="9" spans="1:14" ht="15" thickBot="1">
      <c r="A9" s="3" t="s">
        <v>58</v>
      </c>
      <c r="B9" s="9"/>
      <c r="C9" s="9"/>
      <c r="D9" s="9"/>
      <c r="E9" s="9"/>
      <c r="F9" s="9">
        <v>1E-3</v>
      </c>
      <c r="G9" s="9"/>
      <c r="H9" s="9"/>
      <c r="I9" s="9"/>
      <c r="J9" s="9"/>
      <c r="K9" s="9"/>
      <c r="L9" s="9"/>
      <c r="M9" s="9"/>
      <c r="N9" s="9"/>
    </row>
    <row r="10" spans="1:14" ht="15" thickBot="1">
      <c r="A10" s="3" t="s">
        <v>92</v>
      </c>
      <c r="B10" s="9"/>
      <c r="C10" s="9"/>
      <c r="D10" s="9"/>
      <c r="E10" s="9"/>
      <c r="F10" s="9">
        <v>4.0000000000000001E-3</v>
      </c>
      <c r="G10" s="9"/>
      <c r="H10" s="9">
        <v>0.35</v>
      </c>
      <c r="I10" s="9">
        <v>8.0000000000000002E-3</v>
      </c>
      <c r="J10" s="9">
        <v>4.2999999999999997E-2</v>
      </c>
      <c r="K10" s="9"/>
      <c r="L10" s="9"/>
      <c r="M10" s="9"/>
      <c r="N10" s="9"/>
    </row>
    <row r="11" spans="1:14" ht="15" thickBot="1">
      <c r="A11" s="3" t="s">
        <v>97</v>
      </c>
      <c r="B11" s="9"/>
      <c r="C11" s="9">
        <v>0.114</v>
      </c>
      <c r="D11" s="9">
        <v>7.0000000000000007E-2</v>
      </c>
      <c r="E11" s="9"/>
      <c r="F11" s="9"/>
      <c r="G11" s="9">
        <v>2.3E-2</v>
      </c>
      <c r="H11" s="9">
        <v>0.18</v>
      </c>
      <c r="I11" s="9">
        <v>0.14499999999999999</v>
      </c>
      <c r="J11" s="9">
        <v>0.17399999999999999</v>
      </c>
      <c r="K11" s="9"/>
      <c r="L11" s="9"/>
      <c r="M11" s="9"/>
      <c r="N11" s="9"/>
    </row>
    <row r="12" spans="1:14" ht="15" thickBot="1">
      <c r="A12" s="3" t="s">
        <v>98</v>
      </c>
      <c r="B12" s="9">
        <v>5.5E-2</v>
      </c>
      <c r="C12" s="9">
        <v>0.182</v>
      </c>
      <c r="D12" s="9">
        <v>0.19600000000000001</v>
      </c>
      <c r="E12" s="9">
        <v>0.6</v>
      </c>
      <c r="F12" s="9">
        <v>7.0000000000000007E-2</v>
      </c>
      <c r="G12" s="9">
        <v>6.5000000000000002E-2</v>
      </c>
      <c r="H12" s="9">
        <v>0.09</v>
      </c>
      <c r="I12" s="9">
        <v>0.248</v>
      </c>
      <c r="J12" s="9">
        <v>0.37</v>
      </c>
      <c r="K12" s="9">
        <v>0.125</v>
      </c>
      <c r="L12" s="9">
        <v>0.05</v>
      </c>
      <c r="M12" s="9"/>
      <c r="N12" s="9"/>
    </row>
    <row r="13" spans="1:14" ht="15" thickBot="1">
      <c r="A13" s="3" t="s">
        <v>99</v>
      </c>
      <c r="B13" s="9">
        <v>0.55000000000000004</v>
      </c>
      <c r="C13" s="9">
        <v>1.6E-2</v>
      </c>
      <c r="D13" s="9">
        <v>0.625</v>
      </c>
      <c r="E13" s="9">
        <v>0.375</v>
      </c>
      <c r="F13" s="9">
        <v>0.13700000000000001</v>
      </c>
      <c r="G13" s="9">
        <v>0.70599999999999996</v>
      </c>
      <c r="H13" s="9">
        <v>0.05</v>
      </c>
      <c r="I13" s="9">
        <v>0.14299999999999999</v>
      </c>
      <c r="J13" s="9">
        <v>0.32600000000000001</v>
      </c>
      <c r="K13" s="9">
        <v>0.30499999999999999</v>
      </c>
      <c r="L13" s="9">
        <v>0.8</v>
      </c>
      <c r="M13" s="9"/>
      <c r="N13" s="9"/>
    </row>
    <row r="14" spans="1:14" ht="15" thickBot="1">
      <c r="A14" s="3" t="s">
        <v>96</v>
      </c>
      <c r="B14" s="9">
        <v>0.39500000000000002</v>
      </c>
      <c r="C14" s="9">
        <v>0.247</v>
      </c>
      <c r="D14" s="9">
        <v>0.109</v>
      </c>
      <c r="E14" s="9">
        <v>2.5000000000000001E-2</v>
      </c>
      <c r="F14" s="9">
        <v>6.5000000000000002E-2</v>
      </c>
      <c r="G14" s="9">
        <v>0.20599999999999999</v>
      </c>
      <c r="H14" s="9">
        <v>0.03</v>
      </c>
      <c r="I14" s="9">
        <v>0.106</v>
      </c>
      <c r="J14" s="9">
        <v>8.6999999999999994E-2</v>
      </c>
      <c r="K14" s="9">
        <v>0.56999999999999995</v>
      </c>
      <c r="L14" s="9">
        <v>0.15</v>
      </c>
      <c r="M14" s="9"/>
      <c r="N14" s="9"/>
    </row>
    <row r="15" spans="1:14" ht="15" thickBot="1">
      <c r="A15" s="3" t="s">
        <v>100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</row>
    <row r="16" spans="1:14" ht="15" thickBot="1">
      <c r="A16" s="3" t="s">
        <v>101</v>
      </c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0</v>
      </c>
      <c r="N16" s="3">
        <v>0</v>
      </c>
    </row>
    <row r="17" spans="2:14">
      <c r="B17" s="49">
        <f>SUM(B2:B14)</f>
        <v>1</v>
      </c>
      <c r="C17" s="49">
        <f t="shared" ref="C17:N17" si="0">SUM(C2:C14)</f>
        <v>1</v>
      </c>
      <c r="D17" s="49">
        <f t="shared" si="0"/>
        <v>1</v>
      </c>
      <c r="E17" s="49">
        <f t="shared" si="0"/>
        <v>1</v>
      </c>
      <c r="F17" s="49">
        <f t="shared" si="0"/>
        <v>1</v>
      </c>
      <c r="G17" s="49">
        <f t="shared" si="0"/>
        <v>0.99999999999999989</v>
      </c>
      <c r="H17" s="49">
        <f t="shared" si="0"/>
        <v>1</v>
      </c>
      <c r="I17" s="49">
        <f t="shared" si="0"/>
        <v>1</v>
      </c>
      <c r="J17" s="49">
        <f t="shared" si="0"/>
        <v>1</v>
      </c>
      <c r="K17" s="49">
        <f t="shared" si="0"/>
        <v>1</v>
      </c>
      <c r="L17" s="49">
        <f t="shared" si="0"/>
        <v>1</v>
      </c>
      <c r="M17" s="49">
        <f t="shared" si="0"/>
        <v>0</v>
      </c>
      <c r="N17" s="49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main_raw_data</vt:lpstr>
      <vt:lpstr>raw_data_of_target_species</vt:lpstr>
      <vt:lpstr>reconstracted_data</vt:lpstr>
      <vt:lpstr>calculated_data</vt:lpstr>
      <vt:lpstr>Growth_and_Mortality_parameters</vt:lpstr>
      <vt:lpstr>P_B</vt:lpstr>
      <vt:lpstr>Q_B</vt:lpstr>
      <vt:lpstr>Diet_Matrix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Ataher Ali</dc:creator>
  <cp:lastModifiedBy>Ataher Ali</cp:lastModifiedBy>
  <dcterms:created xsi:type="dcterms:W3CDTF">2026-07-10T21:03:57Z</dcterms:created>
  <dcterms:modified xsi:type="dcterms:W3CDTF">2026-07-29T02:45:44Z</dcterms:modified>
</cp:coreProperties>
</file>