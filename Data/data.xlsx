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Saheen sir\Keya Apu\Ecosystem Modeling\Submission - T &amp;F\1st Revision\Data\"/>
    </mc:Choice>
  </mc:AlternateContent>
  <xr:revisionPtr revIDLastSave="0" documentId="13_ncr:1_{4A8BEC56-9BDE-4C3E-9783-893D0C80563D}" xr6:coauthVersionLast="47" xr6:coauthVersionMax="47" xr10:uidLastSave="{00000000-0000-0000-0000-000000000000}"/>
  <bookViews>
    <workbookView xWindow="-108" yWindow="-108" windowWidth="23256" windowHeight="12456" xr2:uid="{9E6BEC46-195F-430C-A7F6-F1EC13D7260F}"/>
  </bookViews>
  <sheets>
    <sheet name="raw_data" sheetId="2" r:id="rId1"/>
    <sheet name="calculated_data" sheetId="1" r:id="rId2"/>
    <sheet name="Growth_and_Mortality_parameters" sheetId="3" r:id="rId3"/>
    <sheet name="P_B" sheetId="4" r:id="rId4"/>
    <sheet name="Q_B" sheetId="6" r:id="rId5"/>
    <sheet name="Diet_Matrix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4" l="1"/>
  <c r="K2" i="6"/>
  <c r="L2" i="6" s="1"/>
  <c r="M2" i="6" s="1"/>
  <c r="M7" i="6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L3" i="6"/>
  <c r="L4" i="6"/>
  <c r="L5" i="6"/>
  <c r="L6" i="6"/>
  <c r="L7" i="6"/>
  <c r="L8" i="6"/>
  <c r="L9" i="6"/>
  <c r="L10" i="6"/>
  <c r="L11" i="6"/>
  <c r="L12" i="6"/>
  <c r="L13" i="6"/>
  <c r="M13" i="6" s="1"/>
  <c r="L14" i="6"/>
  <c r="L15" i="6"/>
  <c r="L16" i="6"/>
  <c r="L17" i="6"/>
  <c r="M17" i="6" s="1"/>
  <c r="L18" i="6"/>
  <c r="M18" i="6" s="1"/>
  <c r="M9" i="6"/>
  <c r="M11" i="6"/>
  <c r="M16" i="6"/>
  <c r="G3" i="6"/>
  <c r="K3" i="6" s="1"/>
  <c r="G4" i="6"/>
  <c r="K4" i="6" s="1"/>
  <c r="G5" i="6"/>
  <c r="K5" i="6" s="1"/>
  <c r="G6" i="6"/>
  <c r="K6" i="6" s="1"/>
  <c r="G7" i="6"/>
  <c r="K7" i="6" s="1"/>
  <c r="G8" i="6"/>
  <c r="K8" i="6" s="1"/>
  <c r="G9" i="6"/>
  <c r="K9" i="6" s="1"/>
  <c r="G10" i="6"/>
  <c r="K10" i="6" s="1"/>
  <c r="G11" i="6"/>
  <c r="K11" i="6" s="1"/>
  <c r="G12" i="6"/>
  <c r="K12" i="6" s="1"/>
  <c r="G13" i="6"/>
  <c r="K13" i="6" s="1"/>
  <c r="G14" i="6"/>
  <c r="K14" i="6" s="1"/>
  <c r="G15" i="6"/>
  <c r="K15" i="6" s="1"/>
  <c r="G16" i="6"/>
  <c r="K16" i="6" s="1"/>
  <c r="G17" i="6"/>
  <c r="K17" i="6" s="1"/>
  <c r="G18" i="6"/>
  <c r="K18" i="6" s="1"/>
  <c r="G2" i="6"/>
  <c r="M1" i="4"/>
  <c r="F3" i="4"/>
  <c r="M3" i="4" s="1"/>
  <c r="F4" i="4"/>
  <c r="M4" i="4" s="1"/>
  <c r="F5" i="4"/>
  <c r="M5" i="4" s="1"/>
  <c r="F6" i="4"/>
  <c r="M6" i="4" s="1"/>
  <c r="F7" i="4"/>
  <c r="M7" i="4" s="1"/>
  <c r="F8" i="4"/>
  <c r="M8" i="4" s="1"/>
  <c r="F9" i="4"/>
  <c r="M9" i="4" s="1"/>
  <c r="F10" i="4"/>
  <c r="M10" i="4" s="1"/>
  <c r="N9" i="4" s="1"/>
  <c r="F11" i="4"/>
  <c r="M11" i="4" s="1"/>
  <c r="N11" i="4" s="1"/>
  <c r="F12" i="4"/>
  <c r="M12" i="4" s="1"/>
  <c r="F13" i="4"/>
  <c r="M13" i="4" s="1"/>
  <c r="F14" i="4"/>
  <c r="M14" i="4" s="1"/>
  <c r="F15" i="4"/>
  <c r="M15" i="4" s="1"/>
  <c r="F16" i="4"/>
  <c r="M16" i="4" s="1"/>
  <c r="N16" i="4" s="1"/>
  <c r="F17" i="4"/>
  <c r="M17" i="4" s="1"/>
  <c r="N17" i="4" s="1"/>
  <c r="F18" i="4"/>
  <c r="M18" i="4" s="1"/>
  <c r="N18" i="4" s="1"/>
  <c r="F2" i="4"/>
  <c r="M2" i="4" s="1"/>
  <c r="N13" i="4" l="1"/>
  <c r="N7" i="4"/>
</calcChain>
</file>

<file path=xl/sharedStrings.xml><?xml version="1.0" encoding="utf-8"?>
<sst xmlns="http://schemas.openxmlformats.org/spreadsheetml/2006/main" count="310" uniqueCount="182">
  <si>
    <t>Functional Group</t>
  </si>
  <si>
    <t>Representative Species</t>
  </si>
  <si>
    <t>Carp</t>
  </si>
  <si>
    <t>Labeo rohita</t>
  </si>
  <si>
    <t>Catla catla</t>
  </si>
  <si>
    <t>Cirrhinus mrigala</t>
  </si>
  <si>
    <t>Labeo calbasu</t>
  </si>
  <si>
    <t>Labeo bata</t>
  </si>
  <si>
    <t>Snakehead</t>
  </si>
  <si>
    <t>Channa striata</t>
  </si>
  <si>
    <t>Channa punctata</t>
  </si>
  <si>
    <t>Minnows</t>
  </si>
  <si>
    <t>Puntius sarana</t>
  </si>
  <si>
    <t>Amblypharyngodon mola</t>
  </si>
  <si>
    <t>Clupeid</t>
  </si>
  <si>
    <t>Corica soborna</t>
  </si>
  <si>
    <t>Gudusia chapra</t>
  </si>
  <si>
    <t>Catfish</t>
  </si>
  <si>
    <t>Wallago attu</t>
  </si>
  <si>
    <t>Ompok pabda</t>
  </si>
  <si>
    <t>Mystus guilio</t>
  </si>
  <si>
    <t>Tilapia</t>
  </si>
  <si>
    <t>Oreochromis niloticus</t>
  </si>
  <si>
    <t>Knifefish</t>
  </si>
  <si>
    <t>Notopterus notopterus</t>
  </si>
  <si>
    <t>Anabas</t>
  </si>
  <si>
    <t>Anabas testudineus</t>
  </si>
  <si>
    <t>প্রজাতি</t>
  </si>
  <si>
    <t>২০১০-১১</t>
  </si>
  <si>
    <t>২০১১-১২</t>
  </si>
  <si>
    <t>২০১২-১৩</t>
  </si>
  <si>
    <t>২০১৩-১৪</t>
  </si>
  <si>
    <t>২০১৪-১৫</t>
  </si>
  <si>
    <t>২০১৫-১৬</t>
  </si>
  <si>
    <t>২০১৬-১৭</t>
  </si>
  <si>
    <t>২০১৭-১৮</t>
  </si>
  <si>
    <t>২০১৮-১৯</t>
  </si>
  <si>
    <t>২০১৯-২০</t>
  </si>
  <si>
    <t>রুই</t>
  </si>
  <si>
    <t>কাতল</t>
  </si>
  <si>
    <t>মৃগেল</t>
  </si>
  <si>
    <t>চিতল</t>
  </si>
  <si>
    <t>কালিবাউস</t>
  </si>
  <si>
    <t>বড় আইড়</t>
  </si>
  <si>
    <t>বোয়াল</t>
  </si>
  <si>
    <t>পাবদা</t>
  </si>
  <si>
    <t>টেংরা</t>
  </si>
  <si>
    <t>বাচা</t>
  </si>
  <si>
    <t>সিলভার কার্প</t>
  </si>
  <si>
    <t>গ্রাস কার্প</t>
  </si>
  <si>
    <t>তেলাপিয়া</t>
  </si>
  <si>
    <t>শিং</t>
  </si>
  <si>
    <t>কাজুরী</t>
  </si>
  <si>
    <t>চাপিলা</t>
  </si>
  <si>
    <t>ঘনিয়া</t>
  </si>
  <si>
    <t>কালো টেংরা</t>
  </si>
  <si>
    <t>কাটা মইল্যা</t>
  </si>
  <si>
    <t>গুড়া মইল্যা</t>
  </si>
  <si>
    <t>কাচকি</t>
  </si>
  <si>
    <t>কুচো চিংড়ি</t>
  </si>
  <si>
    <t>গজার</t>
  </si>
  <si>
    <t>বাইম</t>
  </si>
  <si>
    <t>ফলি</t>
  </si>
  <si>
    <t>শোল</t>
  </si>
  <si>
    <t xml:space="preserve">টাকি </t>
  </si>
  <si>
    <t>বাশপাতা</t>
  </si>
  <si>
    <t>বাটা</t>
  </si>
  <si>
    <t>কই</t>
  </si>
  <si>
    <t>মহাশোল</t>
  </si>
  <si>
    <t>পুটি</t>
  </si>
  <si>
    <t>ছোট আইড়</t>
  </si>
  <si>
    <t>কার্পিও</t>
  </si>
  <si>
    <t>মাগুর</t>
  </si>
  <si>
    <t xml:space="preserve">পোয়া </t>
  </si>
  <si>
    <t>ফাইস্যা</t>
  </si>
  <si>
    <t>কাকিলা</t>
  </si>
  <si>
    <t>বিগহেড</t>
  </si>
  <si>
    <t>বাতাসি</t>
  </si>
  <si>
    <t>বাইল্যা</t>
  </si>
  <si>
    <t>Total Yield (10 years) (t)</t>
  </si>
  <si>
    <t>Yield (t/km²/year)</t>
  </si>
  <si>
    <t>Proportion (%)</t>
  </si>
  <si>
    <t>L∞​ (cm)</t>
  </si>
  <si>
    <t>K (/yr)</t>
  </si>
  <si>
    <t>M (/yr)</t>
  </si>
  <si>
    <t>Z (/yr)</t>
  </si>
  <si>
    <t>F (/yr)</t>
  </si>
  <si>
    <t>E</t>
  </si>
  <si>
    <t>References</t>
  </si>
  <si>
    <t>1. Carp</t>
  </si>
  <si>
    <t>Ahmed et al., 2005</t>
  </si>
  <si>
    <t>Ahmed et al., 2003</t>
  </si>
  <si>
    <t>Ahmed et al., 2004</t>
  </si>
  <si>
    <t>Alam et al., 2000</t>
  </si>
  <si>
    <t>Azadi et al., 1996</t>
  </si>
  <si>
    <t>2. Snakehead</t>
  </si>
  <si>
    <t>Datta et al., 2023</t>
  </si>
  <si>
    <t>Mustafa &amp; Graaf, 2008</t>
  </si>
  <si>
    <t>3. Minnows</t>
  </si>
  <si>
    <t>Kumar et al., 2016</t>
  </si>
  <si>
    <t>Azadi &amp; Mamun, 2009</t>
  </si>
  <si>
    <t>4. Clupeid</t>
  </si>
  <si>
    <t>Fishbase</t>
  </si>
  <si>
    <t>Rahman et al., 2006</t>
  </si>
  <si>
    <t>5. Catfish</t>
  </si>
  <si>
    <t>Wallago atu</t>
  </si>
  <si>
    <t>Gupta et al., 2015</t>
  </si>
  <si>
    <t>6. Tilapia</t>
  </si>
  <si>
    <t>7. Knifefish</t>
  </si>
  <si>
    <t>Mustafa et al., 2014</t>
  </si>
  <si>
    <t>8. Anabas</t>
  </si>
  <si>
    <t>Proportion</t>
  </si>
  <si>
    <t>Species</t>
  </si>
  <si>
    <t>a</t>
  </si>
  <si>
    <t>b</t>
  </si>
  <si>
    <t>W∞​ (g)</t>
  </si>
  <si>
    <t>A. mola</t>
  </si>
  <si>
    <t>Mystus gulio</t>
  </si>
  <si>
    <t>O. niloticus</t>
  </si>
  <si>
    <t>N. notopterus</t>
  </si>
  <si>
    <t>A. testudineus</t>
  </si>
  <si>
    <t>A</t>
  </si>
  <si>
    <t>h</t>
  </si>
  <si>
    <t>d</t>
  </si>
  <si>
    <t>Ahmed et al. (2005)</t>
  </si>
  <si>
    <t>Ahmed et al. (2004)</t>
  </si>
  <si>
    <t>Azadi &amp; Mamun (2009)</t>
  </si>
  <si>
    <t>FishBase</t>
  </si>
  <si>
    <t>Gupta et al. (2015)</t>
  </si>
  <si>
    <t>Mustafa et al. (2014)</t>
  </si>
  <si>
    <t>Mustafa &amp; Graaf (2008)</t>
  </si>
  <si>
    <t>B/P</t>
  </si>
  <si>
    <t>Ahmed et al. (2003)</t>
  </si>
  <si>
    <t>Alam et al. (2000)</t>
  </si>
  <si>
    <t>Azadi et al. (1996)</t>
  </si>
  <si>
    <t>Datta et al. (2023)</t>
  </si>
  <si>
    <t>Rahman et al. (2006)</t>
  </si>
  <si>
    <t>Hossain et al. (2009)</t>
  </si>
  <si>
    <t>Rahman et al. (2021)</t>
  </si>
  <si>
    <t>Borah et al. (2017)</t>
  </si>
  <si>
    <t xml:space="preserve"> Q/B (/yr)</t>
  </si>
  <si>
    <t>Proportion*Q/B</t>
  </si>
  <si>
    <t>Weighted Q/B</t>
  </si>
  <si>
    <t>Prey / Predator</t>
  </si>
  <si>
    <t>9. Prawn</t>
  </si>
  <si>
    <t>10. Insect</t>
  </si>
  <si>
    <t>11. Zoop.</t>
  </si>
  <si>
    <t>12. Phyto.</t>
  </si>
  <si>
    <t>13. Detritus</t>
  </si>
  <si>
    <t>10. Insect/Larvae</t>
  </si>
  <si>
    <t>11. Zooplankton</t>
  </si>
  <si>
    <t>12. Phytoplankton</t>
  </si>
  <si>
    <t>Import</t>
  </si>
  <si>
    <t>Sum</t>
  </si>
  <si>
    <r>
      <t xml:space="preserve">Species / </t>
    </r>
    <r>
      <rPr>
        <sz val="9"/>
        <color theme="1"/>
        <rFont val="Nirmala UI"/>
        <family val="2"/>
      </rPr>
      <t>প্রজাতি</t>
    </r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</si>
  <si>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</si>
  <si>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</si>
  <si>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</si>
  <si>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</si>
  <si>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</si>
  <si>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</si>
  <si>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</si>
  <si>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</si>
  <si>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</si>
  <si>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</si>
  <si>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r>
      <t>রুই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L. rohita</t>
    </r>
    <r>
      <rPr>
        <sz val="9"/>
        <color theme="1"/>
        <rFont val="Frank Ruhl Libre"/>
      </rPr>
      <t>)</t>
    </r>
  </si>
  <si>
    <r>
      <t>কাতল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C. catla</t>
    </r>
    <r>
      <rPr>
        <sz val="9"/>
        <color theme="1"/>
        <rFont val="Frank Ruhl Libre"/>
      </rPr>
      <t>)</t>
    </r>
  </si>
  <si>
    <r>
      <t>মৃগেল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C. mrigala</t>
    </r>
    <r>
      <rPr>
        <sz val="9"/>
        <color theme="1"/>
        <rFont val="Frank Ruhl Libre"/>
      </rPr>
      <t>)</t>
    </r>
  </si>
  <si>
    <r>
      <t>কালিবাউস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L. calbasu</t>
    </r>
    <r>
      <rPr>
        <sz val="9"/>
        <color theme="1"/>
        <rFont val="Frank Ruhl Libre"/>
      </rPr>
      <t>)</t>
    </r>
  </si>
  <si>
    <r>
      <t>বোয়াল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W. attu</t>
    </r>
    <r>
      <rPr>
        <sz val="9"/>
        <color theme="1"/>
        <rFont val="Frank Ruhl Libre"/>
      </rPr>
      <t>)</t>
    </r>
  </si>
  <si>
    <r>
      <t>পাবদা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O. pabda</t>
    </r>
    <r>
      <rPr>
        <sz val="9"/>
        <color theme="1"/>
        <rFont val="Frank Ruhl Libre"/>
      </rPr>
      <t>)</t>
    </r>
  </si>
  <si>
    <r>
      <t>টেংরা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M. gulio</t>
    </r>
    <r>
      <rPr>
        <sz val="9"/>
        <color theme="1"/>
        <rFont val="Frank Ruhl Libre"/>
      </rPr>
      <t>)</t>
    </r>
  </si>
  <si>
    <r>
      <t>তেলাপিয়া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O. niloticus</t>
    </r>
    <r>
      <rPr>
        <sz val="9"/>
        <color theme="1"/>
        <rFont val="Frank Ruhl Libre"/>
      </rPr>
      <t>)</t>
    </r>
  </si>
  <si>
    <r>
      <t>চাপিলা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G. chapra</t>
    </r>
    <r>
      <rPr>
        <sz val="9"/>
        <color theme="1"/>
        <rFont val="Frank Ruhl Libre"/>
      </rPr>
      <t>)</t>
    </r>
  </si>
  <si>
    <r>
      <t>গুড়া</t>
    </r>
    <r>
      <rPr>
        <sz val="9"/>
        <color theme="1"/>
        <rFont val="Frank Ruhl Libre"/>
      </rPr>
      <t xml:space="preserve"> </t>
    </r>
    <r>
      <rPr>
        <sz val="9"/>
        <color theme="1"/>
        <rFont val="Nirmala UI"/>
        <family val="2"/>
      </rPr>
      <t>মইল্যা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A. mola</t>
    </r>
    <r>
      <rPr>
        <sz val="9"/>
        <color theme="1"/>
        <rFont val="Frank Ruhl Libre"/>
      </rPr>
      <t>)</t>
    </r>
  </si>
  <si>
    <r>
      <t>কাচকি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C. soborna</t>
    </r>
    <r>
      <rPr>
        <sz val="9"/>
        <color theme="1"/>
        <rFont val="Frank Ruhl Libre"/>
      </rPr>
      <t>)</t>
    </r>
  </si>
  <si>
    <r>
      <t>ফলি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N. notopterus</t>
    </r>
    <r>
      <rPr>
        <sz val="9"/>
        <color theme="1"/>
        <rFont val="Frank Ruhl Libre"/>
      </rPr>
      <t>)</t>
    </r>
  </si>
  <si>
    <r>
      <t>শোল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C. striata</t>
    </r>
    <r>
      <rPr>
        <sz val="9"/>
        <color theme="1"/>
        <rFont val="Frank Ruhl Libre"/>
      </rPr>
      <t>)</t>
    </r>
  </si>
  <si>
    <r>
      <t>টাকি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C. punctata</t>
    </r>
    <r>
      <rPr>
        <sz val="9"/>
        <color theme="1"/>
        <rFont val="Frank Ruhl Libre"/>
      </rPr>
      <t>)</t>
    </r>
  </si>
  <si>
    <r>
      <t>বাটা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L. bata</t>
    </r>
    <r>
      <rPr>
        <sz val="9"/>
        <color theme="1"/>
        <rFont val="Frank Ruhl Libre"/>
      </rPr>
      <t>)</t>
    </r>
  </si>
  <si>
    <r>
      <t>কই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A. testudineus</t>
    </r>
    <r>
      <rPr>
        <sz val="9"/>
        <color theme="1"/>
        <rFont val="Frank Ruhl Libre"/>
      </rPr>
      <t>)</t>
    </r>
  </si>
  <si>
    <r>
      <t>পুটি</t>
    </r>
    <r>
      <rPr>
        <sz val="9"/>
        <color theme="1"/>
        <rFont val="Frank Ruhl Libre"/>
      </rPr>
      <t xml:space="preserve"> (</t>
    </r>
    <r>
      <rPr>
        <i/>
        <sz val="9"/>
        <color theme="1"/>
        <rFont val="Frank Ruhl Libre"/>
      </rPr>
      <t>P. sarana</t>
    </r>
    <r>
      <rPr>
        <sz val="9"/>
        <color theme="1"/>
        <rFont val="Frank Ruhl Libre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</si>
</sst>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0"/>
      <color theme="1"/>
      <name val="Nikosh"/>
    </font>
    <font>
      <sz val="10"/>
      <color theme="1"/>
      <name val="Nikosh"/>
    </font>
    <font>
      <sz val="10"/>
      <color rgb="FF000000"/>
      <name val="SutonnyMJ"/>
    </font>
    <font>
      <sz val="10"/>
      <color theme="1"/>
      <name val="SutonnyMJ"/>
    </font>
    <font>
      <b/>
      <sz val="11"/>
      <color rgb="FF0070C0"/>
      <name val="Arial"/>
      <family val="2"/>
    </font>
    <font>
      <i/>
      <sz val="11"/>
      <color rgb="FF0070C0"/>
      <name val="Arial"/>
      <family val="2"/>
    </font>
    <font>
      <sz val="11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7030A0"/>
      <name val="Arial"/>
      <family val="2"/>
    </font>
    <font>
      <i/>
      <sz val="11"/>
      <color rgb="FF7030A0"/>
      <name val="Arial"/>
      <family val="2"/>
    </font>
    <font>
      <sz val="11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1"/>
      <color rgb="FF00B050"/>
      <name val="Arial"/>
      <family val="2"/>
    </font>
    <font>
      <i/>
      <sz val="11"/>
      <color rgb="FF00B050"/>
      <name val="Arial"/>
      <family val="2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1"/>
      <color theme="5" tint="-0.249977111117893"/>
      <name val="Arial"/>
      <family val="2"/>
    </font>
    <font>
      <i/>
      <sz val="11"/>
      <color theme="5" tint="-0.249977111117893"/>
      <name val="Arial"/>
      <family val="2"/>
    </font>
    <font>
      <sz val="11"/>
      <color theme="5" tint="-0.249977111117893"/>
      <name val="Arial"/>
      <family val="2"/>
    </font>
    <font>
      <sz val="11"/>
      <color theme="5" tint="-0.249977111117893"/>
      <name val="Calibri"/>
      <family val="2"/>
      <scheme val="minor"/>
    </font>
    <font>
      <sz val="9"/>
      <color rgb="FF242021"/>
      <name val="STIXTwoText"/>
    </font>
    <font>
      <b/>
      <sz val="9"/>
      <color theme="1"/>
      <name val="Frank Ruhl Libre"/>
    </font>
    <font>
      <sz val="9"/>
      <color theme="1"/>
      <name val="Nirmala UI"/>
      <family val="2"/>
    </font>
    <font>
      <sz val="9"/>
      <color theme="1"/>
      <name val="Frank Ruhl Libre"/>
    </font>
    <font>
      <i/>
      <sz val="9"/>
      <color theme="1"/>
      <name val="Frank Ruhl Libre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right" vertical="center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8" fillId="0" borderId="1" xfId="0" applyFont="1" applyBorder="1" applyAlignment="1">
      <alignment horizontal="right" vertical="center" readingOrder="1"/>
    </xf>
    <xf numFmtId="0" fontId="9" fillId="0" borderId="1" xfId="0" applyFont="1" applyBorder="1" applyAlignment="1">
      <alignment horizontal="right" vertical="center" readingOrder="1"/>
    </xf>
    <xf numFmtId="0" fontId="10" fillId="0" borderId="1" xfId="0" applyFont="1" applyBorder="1" applyAlignment="1">
      <alignment horizontal="right" vertical="center" wrapText="1" indent="1" readingOrder="1"/>
    </xf>
    <xf numFmtId="0" fontId="10" fillId="0" borderId="1" xfId="0" applyFont="1" applyBorder="1" applyAlignment="1">
      <alignment horizontal="right" vertical="center" readingOrder="1"/>
    </xf>
    <xf numFmtId="0" fontId="10" fillId="0" borderId="1" xfId="0" applyFont="1" applyBorder="1" applyAlignment="1">
      <alignment horizontal="left" vertical="center" indent="1" readingOrder="1"/>
    </xf>
    <xf numFmtId="0" fontId="11" fillId="0" borderId="0" xfId="0" applyFont="1"/>
    <xf numFmtId="0" fontId="12" fillId="0" borderId="1" xfId="0" applyFont="1" applyBorder="1" applyAlignment="1">
      <alignment horizontal="right" vertical="center" readingOrder="1"/>
    </xf>
    <xf numFmtId="0" fontId="13" fillId="0" borderId="1" xfId="0" applyFont="1" applyBorder="1" applyAlignment="1">
      <alignment horizontal="right" vertical="center" readingOrder="1"/>
    </xf>
    <xf numFmtId="0" fontId="14" fillId="0" borderId="1" xfId="0" applyFont="1" applyBorder="1" applyAlignment="1">
      <alignment horizontal="right" vertical="center" wrapText="1" indent="1" readingOrder="1"/>
    </xf>
    <xf numFmtId="0" fontId="14" fillId="0" borderId="1" xfId="0" applyFont="1" applyBorder="1" applyAlignment="1">
      <alignment horizontal="right" vertical="center" readingOrder="1"/>
    </xf>
    <xf numFmtId="0" fontId="14" fillId="0" borderId="1" xfId="0" applyFont="1" applyBorder="1" applyAlignment="1">
      <alignment horizontal="left" vertical="center" indent="1" readingOrder="1"/>
    </xf>
    <xf numFmtId="0" fontId="15" fillId="0" borderId="0" xfId="0" applyFont="1"/>
    <xf numFmtId="0" fontId="16" fillId="0" borderId="1" xfId="0" applyFont="1" applyBorder="1" applyAlignment="1">
      <alignment horizontal="right" vertical="center" readingOrder="1"/>
    </xf>
    <xf numFmtId="0" fontId="17" fillId="0" borderId="1" xfId="0" applyFont="1" applyBorder="1" applyAlignment="1">
      <alignment horizontal="right" vertical="center" readingOrder="1"/>
    </xf>
    <xf numFmtId="0" fontId="18" fillId="0" borderId="1" xfId="0" applyFont="1" applyBorder="1" applyAlignment="1">
      <alignment horizontal="right" vertical="center" wrapText="1" indent="1" readingOrder="1"/>
    </xf>
    <xf numFmtId="0" fontId="18" fillId="0" borderId="1" xfId="0" applyFont="1" applyBorder="1" applyAlignment="1">
      <alignment horizontal="right" vertical="center" readingOrder="1"/>
    </xf>
    <xf numFmtId="0" fontId="18" fillId="0" borderId="1" xfId="0" applyFont="1" applyBorder="1" applyAlignment="1">
      <alignment horizontal="left" vertical="center" indent="1" readingOrder="1"/>
    </xf>
    <xf numFmtId="0" fontId="19" fillId="0" borderId="0" xfId="0" applyFont="1"/>
    <xf numFmtId="0" fontId="20" fillId="0" borderId="1" xfId="0" applyFont="1" applyBorder="1" applyAlignment="1">
      <alignment horizontal="right" vertical="center" readingOrder="1"/>
    </xf>
    <xf numFmtId="0" fontId="21" fillId="0" borderId="1" xfId="0" applyFont="1" applyBorder="1" applyAlignment="1">
      <alignment horizontal="right" vertical="center" readingOrder="1"/>
    </xf>
    <xf numFmtId="0" fontId="22" fillId="0" borderId="1" xfId="0" applyFont="1" applyBorder="1" applyAlignment="1">
      <alignment horizontal="right" vertical="center" wrapText="1" indent="1" readingOrder="1"/>
    </xf>
    <xf numFmtId="0" fontId="22" fillId="0" borderId="1" xfId="0" applyFont="1" applyBorder="1" applyAlignment="1">
      <alignment horizontal="right" vertical="center" readingOrder="1"/>
    </xf>
    <xf numFmtId="0" fontId="22" fillId="0" borderId="1" xfId="0" applyFont="1" applyBorder="1" applyAlignment="1">
      <alignment horizontal="left" vertical="center" indent="1" readingOrder="1"/>
    </xf>
    <xf numFmtId="0" fontId="23" fillId="0" borderId="0" xfId="0" applyFont="1"/>
    <xf numFmtId="0" fontId="10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2" fontId="1" fillId="0" borderId="6" xfId="0" applyNumberFormat="1" applyFont="1" applyBorder="1" applyAlignment="1">
      <alignment horizontal="left" vertical="center" indent="1"/>
    </xf>
    <xf numFmtId="0" fontId="24" fillId="0" borderId="0" xfId="0" applyFont="1" applyAlignment="1">
      <alignment vertical="center" wrapText="1"/>
    </xf>
    <xf numFmtId="0" fontId="2" fillId="0" borderId="7" xfId="0" applyFont="1" applyBorder="1" applyAlignment="1">
      <alignment horizontal="right" vertical="center" readingOrder="1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 readingOrder="1"/>
    </xf>
    <xf numFmtId="164" fontId="0" fillId="0" borderId="0" xfId="0" applyNumberFormat="1"/>
    <xf numFmtId="164" fontId="1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6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A233-1808-4ED0-B8E8-EE62668C1893}">
  <dimension ref="A1:X42"/>
  <sheetViews>
    <sheetView tabSelected="1" workbookViewId="0">
      <selection activeCell="M7" sqref="M7"/>
    </sheetView>
  </sheetViews>
  <sheetFormatPr defaultRowHeight="14.4"/>
  <cols>
    <col min="1" max="1" width="11.44140625" bestFit="1" customWidth="1"/>
  </cols>
  <sheetData>
    <row r="1" spans="1:24" ht="15" thickBot="1">
      <c r="A1" s="1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1" t="s">
        <v>36</v>
      </c>
      <c r="K1" s="1" t="s">
        <v>37</v>
      </c>
    </row>
    <row r="2" spans="1:24" ht="27" thickTop="1" thickBot="1">
      <c r="A2" s="3" t="s">
        <v>38</v>
      </c>
      <c r="B2" s="4">
        <v>4686</v>
      </c>
      <c r="C2" s="4">
        <v>9846</v>
      </c>
      <c r="D2" s="4">
        <v>15994</v>
      </c>
      <c r="E2" s="4">
        <v>9023</v>
      </c>
      <c r="F2" s="4">
        <v>8077</v>
      </c>
      <c r="G2" s="4">
        <v>12213</v>
      </c>
      <c r="H2" s="4">
        <v>8164</v>
      </c>
      <c r="I2" s="4">
        <v>13786</v>
      </c>
      <c r="J2" s="5">
        <v>7495</v>
      </c>
      <c r="K2" s="6">
        <v>13102</v>
      </c>
      <c r="N2" s="63" t="s">
        <v>154</v>
      </c>
      <c r="O2" s="64" t="s">
        <v>155</v>
      </c>
      <c r="P2" s="64" t="s">
        <v>156</v>
      </c>
      <c r="Q2" s="64" t="s">
        <v>157</v>
      </c>
      <c r="R2" s="64" t="s">
        <v>158</v>
      </c>
      <c r="S2" s="64" t="s">
        <v>159</v>
      </c>
      <c r="T2" s="64" t="s">
        <v>160</v>
      </c>
      <c r="U2" s="64" t="s">
        <v>161</v>
      </c>
      <c r="V2" s="64" t="s">
        <v>162</v>
      </c>
      <c r="W2" s="64" t="s">
        <v>163</v>
      </c>
      <c r="X2" s="64" t="s">
        <v>164</v>
      </c>
    </row>
    <row r="3" spans="1:24" ht="26.4" thickTop="1">
      <c r="A3" s="3" t="s">
        <v>39</v>
      </c>
      <c r="B3" s="4">
        <v>16163</v>
      </c>
      <c r="C3" s="4">
        <v>18422</v>
      </c>
      <c r="D3" s="4">
        <v>20019</v>
      </c>
      <c r="E3" s="4">
        <v>14446</v>
      </c>
      <c r="F3" s="4">
        <v>11547</v>
      </c>
      <c r="G3" s="4">
        <v>23346</v>
      </c>
      <c r="H3" s="4">
        <v>16419</v>
      </c>
      <c r="I3" s="4">
        <v>25069</v>
      </c>
      <c r="J3" s="5">
        <v>17554</v>
      </c>
      <c r="K3" s="6">
        <v>21533</v>
      </c>
      <c r="N3" s="65" t="s">
        <v>165</v>
      </c>
      <c r="O3" s="66">
        <v>4686</v>
      </c>
      <c r="P3" s="66">
        <v>9846</v>
      </c>
      <c r="Q3" s="66">
        <v>15994</v>
      </c>
      <c r="R3" s="66">
        <v>9023</v>
      </c>
      <c r="S3" s="66">
        <v>8077</v>
      </c>
      <c r="T3" s="66">
        <v>12213</v>
      </c>
      <c r="U3" s="66">
        <v>8164</v>
      </c>
      <c r="V3" s="66">
        <v>13786</v>
      </c>
      <c r="W3" s="66">
        <v>7495</v>
      </c>
      <c r="X3" s="66">
        <v>13102</v>
      </c>
    </row>
    <row r="4" spans="1:24" ht="25.8">
      <c r="A4" s="3" t="s">
        <v>40</v>
      </c>
      <c r="B4" s="4">
        <v>453</v>
      </c>
      <c r="C4" s="4">
        <v>3801</v>
      </c>
      <c r="D4" s="4">
        <v>2427</v>
      </c>
      <c r="E4" s="4">
        <v>2418</v>
      </c>
      <c r="F4" s="4">
        <v>4291</v>
      </c>
      <c r="G4" s="4">
        <v>6738</v>
      </c>
      <c r="H4" s="4">
        <v>3646</v>
      </c>
      <c r="I4" s="4">
        <v>3261</v>
      </c>
      <c r="J4" s="5">
        <v>5110</v>
      </c>
      <c r="K4" s="6">
        <v>6879</v>
      </c>
      <c r="N4" s="65" t="s">
        <v>166</v>
      </c>
      <c r="O4" s="66">
        <v>16163</v>
      </c>
      <c r="P4" s="66">
        <v>18422</v>
      </c>
      <c r="Q4" s="66">
        <v>20019</v>
      </c>
      <c r="R4" s="66">
        <v>14446</v>
      </c>
      <c r="S4" s="66">
        <v>11547</v>
      </c>
      <c r="T4" s="66">
        <v>23346</v>
      </c>
      <c r="U4" s="66">
        <v>16419</v>
      </c>
      <c r="V4" s="66">
        <v>25069</v>
      </c>
      <c r="W4" s="66">
        <v>17554</v>
      </c>
      <c r="X4" s="66">
        <v>21533</v>
      </c>
    </row>
    <row r="5" spans="1:24" ht="25.8">
      <c r="A5" s="3" t="s">
        <v>41</v>
      </c>
      <c r="B5" s="4">
        <v>2261</v>
      </c>
      <c r="C5" s="4">
        <v>855</v>
      </c>
      <c r="D5" s="4">
        <v>3163</v>
      </c>
      <c r="E5" s="4">
        <v>4041</v>
      </c>
      <c r="F5" s="4">
        <v>1976</v>
      </c>
      <c r="G5" s="4">
        <v>3791</v>
      </c>
      <c r="H5" s="4">
        <v>2732</v>
      </c>
      <c r="I5" s="4">
        <v>3192</v>
      </c>
      <c r="J5" s="5">
        <v>2711</v>
      </c>
      <c r="K5" s="6">
        <v>4656</v>
      </c>
      <c r="N5" s="65" t="s">
        <v>167</v>
      </c>
      <c r="O5" s="66">
        <v>453</v>
      </c>
      <c r="P5" s="66">
        <v>3801</v>
      </c>
      <c r="Q5" s="66">
        <v>2427</v>
      </c>
      <c r="R5" s="66">
        <v>2418</v>
      </c>
      <c r="S5" s="66">
        <v>4291</v>
      </c>
      <c r="T5" s="66">
        <v>6738</v>
      </c>
      <c r="U5" s="66">
        <v>3646</v>
      </c>
      <c r="V5" s="66">
        <v>3261</v>
      </c>
      <c r="W5" s="66">
        <v>5110</v>
      </c>
      <c r="X5" s="66">
        <v>6879</v>
      </c>
    </row>
    <row r="6" spans="1:24" ht="38.4">
      <c r="A6" s="3" t="s">
        <v>42</v>
      </c>
      <c r="B6" s="4">
        <v>69293</v>
      </c>
      <c r="C6" s="4">
        <v>45506</v>
      </c>
      <c r="D6" s="4">
        <v>39699</v>
      </c>
      <c r="E6" s="4">
        <v>38854</v>
      </c>
      <c r="F6" s="4">
        <v>12821</v>
      </c>
      <c r="G6" s="4">
        <v>311048</v>
      </c>
      <c r="H6" s="4">
        <v>15766</v>
      </c>
      <c r="I6" s="4">
        <v>15469</v>
      </c>
      <c r="J6" s="5">
        <v>15743</v>
      </c>
      <c r="K6" s="6">
        <v>13732</v>
      </c>
      <c r="N6" s="65" t="s">
        <v>168</v>
      </c>
      <c r="O6" s="66">
        <v>69293</v>
      </c>
      <c r="P6" s="66">
        <v>45506</v>
      </c>
      <c r="Q6" s="66">
        <v>39699</v>
      </c>
      <c r="R6" s="66">
        <v>38854</v>
      </c>
      <c r="S6" s="66">
        <v>12821</v>
      </c>
      <c r="T6" s="66">
        <v>311048</v>
      </c>
      <c r="U6" s="66">
        <v>15766</v>
      </c>
      <c r="V6" s="66">
        <v>15469</v>
      </c>
      <c r="W6" s="66">
        <v>15743</v>
      </c>
      <c r="X6" s="66">
        <v>13732</v>
      </c>
    </row>
    <row r="7" spans="1:24" ht="25.8">
      <c r="A7" s="3" t="s">
        <v>43</v>
      </c>
      <c r="B7" s="4">
        <v>323109</v>
      </c>
      <c r="C7" s="4">
        <v>197460</v>
      </c>
      <c r="D7" s="4">
        <v>328575</v>
      </c>
      <c r="E7" s="4">
        <v>274000</v>
      </c>
      <c r="F7" s="4">
        <v>204007</v>
      </c>
      <c r="G7" s="4">
        <v>17042</v>
      </c>
      <c r="H7" s="4">
        <v>41527</v>
      </c>
      <c r="I7" s="4">
        <v>56433</v>
      </c>
      <c r="J7" s="5">
        <v>240623</v>
      </c>
      <c r="K7" s="6">
        <v>192609</v>
      </c>
      <c r="N7" s="65" t="s">
        <v>169</v>
      </c>
      <c r="O7" s="66">
        <v>17889</v>
      </c>
      <c r="P7" s="66">
        <v>8216</v>
      </c>
      <c r="Q7" s="66">
        <v>10055</v>
      </c>
      <c r="R7" s="66">
        <v>17042</v>
      </c>
      <c r="S7" s="66">
        <v>22050</v>
      </c>
      <c r="T7" s="66">
        <v>8079</v>
      </c>
      <c r="U7" s="66">
        <v>21527</v>
      </c>
      <c r="V7" s="66">
        <v>21742</v>
      </c>
      <c r="W7" s="66">
        <v>20572</v>
      </c>
      <c r="X7" s="66">
        <v>22321</v>
      </c>
    </row>
    <row r="8" spans="1:24" ht="25.8">
      <c r="A8" s="3" t="s">
        <v>44</v>
      </c>
      <c r="B8" s="4">
        <v>17889</v>
      </c>
      <c r="C8" s="4">
        <v>8216</v>
      </c>
      <c r="D8" s="4">
        <v>10055</v>
      </c>
      <c r="E8" s="4">
        <v>17042</v>
      </c>
      <c r="F8" s="4">
        <v>22050</v>
      </c>
      <c r="G8" s="4">
        <v>8079</v>
      </c>
      <c r="H8" s="4">
        <v>21527</v>
      </c>
      <c r="I8" s="4">
        <v>21742</v>
      </c>
      <c r="J8" s="5">
        <v>20572</v>
      </c>
      <c r="K8" s="6">
        <v>22321</v>
      </c>
      <c r="N8" s="65" t="s">
        <v>170</v>
      </c>
      <c r="O8" s="66">
        <v>314</v>
      </c>
      <c r="P8" s="66">
        <v>508</v>
      </c>
      <c r="Q8" s="66">
        <v>912</v>
      </c>
      <c r="R8" s="66">
        <v>4300</v>
      </c>
      <c r="S8" s="66">
        <v>4064</v>
      </c>
      <c r="T8" s="66">
        <v>18225</v>
      </c>
      <c r="U8" s="66">
        <v>3391</v>
      </c>
      <c r="V8" s="66">
        <v>15092</v>
      </c>
      <c r="W8" s="66">
        <v>10820</v>
      </c>
      <c r="X8" s="66">
        <v>7780</v>
      </c>
    </row>
    <row r="9" spans="1:24" ht="25.8">
      <c r="A9" s="3" t="s">
        <v>45</v>
      </c>
      <c r="B9" s="4">
        <v>314</v>
      </c>
      <c r="C9" s="4">
        <v>508</v>
      </c>
      <c r="D9" s="4">
        <v>912</v>
      </c>
      <c r="E9" s="4">
        <v>4300</v>
      </c>
      <c r="F9" s="4">
        <v>4064</v>
      </c>
      <c r="G9" s="4">
        <v>18225</v>
      </c>
      <c r="H9" s="4">
        <v>3391</v>
      </c>
      <c r="I9" s="4">
        <v>15092</v>
      </c>
      <c r="J9" s="5">
        <v>10820</v>
      </c>
      <c r="K9" s="6">
        <v>7780</v>
      </c>
      <c r="N9" s="65" t="s">
        <v>171</v>
      </c>
      <c r="O9" s="66">
        <v>37389</v>
      </c>
      <c r="P9" s="66">
        <v>17896</v>
      </c>
      <c r="Q9" s="66">
        <v>30655</v>
      </c>
      <c r="R9" s="66">
        <v>17101</v>
      </c>
      <c r="S9" s="66">
        <v>11826</v>
      </c>
      <c r="T9" s="66">
        <v>15334</v>
      </c>
      <c r="U9" s="66">
        <v>9407</v>
      </c>
      <c r="V9" s="66">
        <v>17904</v>
      </c>
      <c r="W9" s="66">
        <v>12586</v>
      </c>
      <c r="X9" s="66">
        <v>12706</v>
      </c>
    </row>
    <row r="10" spans="1:24" ht="38.4">
      <c r="A10" s="3" t="s">
        <v>46</v>
      </c>
      <c r="B10" s="4">
        <v>37389</v>
      </c>
      <c r="C10" s="4">
        <v>17896</v>
      </c>
      <c r="D10" s="4">
        <v>30655</v>
      </c>
      <c r="E10" s="4">
        <v>17101</v>
      </c>
      <c r="F10" s="4">
        <v>11826</v>
      </c>
      <c r="G10" s="4">
        <v>15334</v>
      </c>
      <c r="H10" s="4">
        <v>9407</v>
      </c>
      <c r="I10" s="4">
        <v>17904</v>
      </c>
      <c r="J10" s="5">
        <v>12586</v>
      </c>
      <c r="K10" s="6">
        <v>12706</v>
      </c>
      <c r="N10" s="65" t="s">
        <v>172</v>
      </c>
      <c r="O10" s="66">
        <v>52471</v>
      </c>
      <c r="P10" s="66">
        <v>43017</v>
      </c>
      <c r="Q10" s="66">
        <v>52780</v>
      </c>
      <c r="R10" s="66">
        <v>44630</v>
      </c>
      <c r="S10" s="66">
        <v>45113</v>
      </c>
      <c r="T10" s="66">
        <v>27843</v>
      </c>
      <c r="U10" s="66">
        <v>70702</v>
      </c>
      <c r="V10" s="66">
        <v>19265</v>
      </c>
      <c r="W10" s="66">
        <v>22739</v>
      </c>
      <c r="X10" s="66">
        <v>20931</v>
      </c>
    </row>
    <row r="11" spans="1:24" ht="25.8">
      <c r="A11" s="3" t="s">
        <v>47</v>
      </c>
      <c r="B11" s="4">
        <v>20614</v>
      </c>
      <c r="C11" s="4">
        <v>7345</v>
      </c>
      <c r="D11" s="4">
        <v>5305</v>
      </c>
      <c r="E11" s="4">
        <v>8409</v>
      </c>
      <c r="F11" s="4">
        <v>10138</v>
      </c>
      <c r="G11" s="4">
        <v>108</v>
      </c>
      <c r="H11" s="4">
        <v>9763</v>
      </c>
      <c r="I11" s="4">
        <v>18029</v>
      </c>
      <c r="J11" s="5">
        <v>12136</v>
      </c>
      <c r="K11" s="6">
        <v>9261</v>
      </c>
      <c r="N11" s="65" t="s">
        <v>173</v>
      </c>
      <c r="O11" s="66">
        <v>2604514</v>
      </c>
      <c r="P11" s="66">
        <v>2643897</v>
      </c>
      <c r="Q11" s="66">
        <v>2640447</v>
      </c>
      <c r="R11" s="66">
        <v>2257424</v>
      </c>
      <c r="S11" s="66">
        <v>45825</v>
      </c>
      <c r="T11" s="66">
        <v>2900343</v>
      </c>
      <c r="U11" s="66">
        <v>78972</v>
      </c>
      <c r="V11" s="66">
        <v>86301</v>
      </c>
      <c r="W11" s="66">
        <v>75109</v>
      </c>
      <c r="X11" s="66">
        <v>53023</v>
      </c>
    </row>
    <row r="12" spans="1:24" ht="39">
      <c r="A12" s="3" t="s">
        <v>48</v>
      </c>
      <c r="B12" s="4">
        <v>62</v>
      </c>
      <c r="C12" s="4">
        <v>1086</v>
      </c>
      <c r="D12" s="4">
        <v>616</v>
      </c>
      <c r="E12" s="4">
        <v>602</v>
      </c>
      <c r="F12" s="4">
        <v>654</v>
      </c>
      <c r="G12" s="4">
        <v>597</v>
      </c>
      <c r="H12" s="4">
        <v>881</v>
      </c>
      <c r="I12" s="4">
        <v>460</v>
      </c>
      <c r="J12" s="5">
        <v>81</v>
      </c>
      <c r="K12" s="6">
        <v>110</v>
      </c>
      <c r="N12" s="65" t="s">
        <v>174</v>
      </c>
      <c r="O12" s="66">
        <v>125942</v>
      </c>
      <c r="P12" s="66">
        <v>154449</v>
      </c>
      <c r="Q12" s="66">
        <v>287005</v>
      </c>
      <c r="R12" s="66">
        <v>391975</v>
      </c>
      <c r="S12" s="66">
        <v>97312</v>
      </c>
      <c r="T12" s="66">
        <v>272494</v>
      </c>
      <c r="U12" s="66">
        <v>303079</v>
      </c>
      <c r="V12" s="66">
        <v>240118</v>
      </c>
      <c r="W12" s="66">
        <v>3193114</v>
      </c>
      <c r="X12" s="66">
        <v>280140</v>
      </c>
    </row>
    <row r="13" spans="1:24" ht="25.8">
      <c r="A13" s="3" t="s">
        <v>49</v>
      </c>
      <c r="B13" s="4">
        <v>73</v>
      </c>
      <c r="C13" s="4">
        <v>21856</v>
      </c>
      <c r="D13" s="4">
        <v>8823</v>
      </c>
      <c r="E13" s="4">
        <v>4513</v>
      </c>
      <c r="F13" s="4">
        <v>3485</v>
      </c>
      <c r="G13" s="4">
        <v>60711</v>
      </c>
      <c r="H13" s="4">
        <v>2344</v>
      </c>
      <c r="I13" s="4">
        <v>5433</v>
      </c>
      <c r="J13" s="5">
        <v>4361</v>
      </c>
      <c r="K13" s="6">
        <v>6866</v>
      </c>
      <c r="N13" s="65" t="s">
        <v>175</v>
      </c>
      <c r="O13" s="66">
        <v>2464706</v>
      </c>
      <c r="P13" s="66">
        <v>2381123</v>
      </c>
      <c r="Q13" s="66">
        <v>2581534</v>
      </c>
      <c r="R13" s="66">
        <v>2131960</v>
      </c>
      <c r="S13" s="66">
        <v>381036</v>
      </c>
      <c r="T13" s="66">
        <v>2719165</v>
      </c>
      <c r="U13" s="66">
        <v>2799447</v>
      </c>
      <c r="V13" s="66">
        <v>3116951</v>
      </c>
      <c r="W13" s="66">
        <v>174798</v>
      </c>
      <c r="X13" s="66">
        <v>3453885</v>
      </c>
    </row>
    <row r="14" spans="1:24" ht="38.4">
      <c r="A14" s="3" t="s">
        <v>50</v>
      </c>
      <c r="B14" s="4">
        <v>52471</v>
      </c>
      <c r="C14" s="4">
        <v>43017</v>
      </c>
      <c r="D14" s="4">
        <v>52780</v>
      </c>
      <c r="E14" s="4">
        <v>44630</v>
      </c>
      <c r="F14" s="4">
        <v>45113</v>
      </c>
      <c r="G14" s="4">
        <v>27843</v>
      </c>
      <c r="H14" s="4">
        <v>70702</v>
      </c>
      <c r="I14" s="4">
        <v>19265</v>
      </c>
      <c r="J14" s="5">
        <v>22739</v>
      </c>
      <c r="K14" s="6">
        <v>20931</v>
      </c>
      <c r="N14" s="65" t="s">
        <v>176</v>
      </c>
      <c r="O14" s="66">
        <v>60249</v>
      </c>
      <c r="P14" s="66">
        <v>41711</v>
      </c>
      <c r="Q14" s="66">
        <v>32786</v>
      </c>
      <c r="R14" s="66">
        <v>18341</v>
      </c>
      <c r="S14" s="66">
        <v>17636</v>
      </c>
      <c r="T14" s="66">
        <v>46242</v>
      </c>
      <c r="U14" s="66">
        <v>42216</v>
      </c>
      <c r="V14" s="66">
        <v>32441</v>
      </c>
      <c r="W14" s="66">
        <v>14549</v>
      </c>
      <c r="X14" s="66">
        <v>21705</v>
      </c>
    </row>
    <row r="15" spans="1:24" ht="25.8">
      <c r="A15" s="3" t="s">
        <v>51</v>
      </c>
      <c r="B15" s="4">
        <v>20508</v>
      </c>
      <c r="C15" s="4">
        <v>18982</v>
      </c>
      <c r="D15" s="4">
        <v>26882</v>
      </c>
      <c r="E15" s="4">
        <v>14647</v>
      </c>
      <c r="F15" s="4">
        <v>16674</v>
      </c>
      <c r="G15" s="4">
        <v>92399</v>
      </c>
      <c r="H15" s="4">
        <v>22499</v>
      </c>
      <c r="I15" s="4">
        <v>14033</v>
      </c>
      <c r="J15" s="5">
        <v>5055</v>
      </c>
      <c r="K15" s="6">
        <v>2213</v>
      </c>
      <c r="N15" s="65" t="s">
        <v>177</v>
      </c>
      <c r="O15" s="66">
        <v>12529</v>
      </c>
      <c r="P15" s="66">
        <v>15252</v>
      </c>
      <c r="Q15" s="66">
        <v>18512</v>
      </c>
      <c r="R15" s="66">
        <v>9915</v>
      </c>
      <c r="S15" s="66">
        <v>34821</v>
      </c>
      <c r="T15" s="66">
        <v>35049</v>
      </c>
      <c r="U15" s="66">
        <v>18066</v>
      </c>
      <c r="V15" s="66">
        <v>15816</v>
      </c>
      <c r="W15" s="66">
        <v>436</v>
      </c>
      <c r="X15" s="66">
        <v>10628</v>
      </c>
    </row>
    <row r="16" spans="1:24" ht="25.8">
      <c r="A16" s="3" t="s">
        <v>52</v>
      </c>
      <c r="B16" s="4">
        <v>75188</v>
      </c>
      <c r="C16" s="4">
        <v>72897</v>
      </c>
      <c r="D16" s="4">
        <v>54617</v>
      </c>
      <c r="E16" s="4">
        <v>87392</v>
      </c>
      <c r="F16" s="4">
        <v>37388</v>
      </c>
      <c r="G16" s="4">
        <v>108967</v>
      </c>
      <c r="H16" s="4">
        <v>100515</v>
      </c>
      <c r="I16" s="4">
        <v>180564</v>
      </c>
      <c r="J16" s="5">
        <v>136760</v>
      </c>
      <c r="K16" s="6">
        <v>77296</v>
      </c>
      <c r="N16" s="65" t="s">
        <v>178</v>
      </c>
      <c r="O16" s="66">
        <v>2511</v>
      </c>
      <c r="P16" s="66">
        <v>2567</v>
      </c>
      <c r="Q16" s="66">
        <v>3754</v>
      </c>
      <c r="R16" s="66">
        <v>2494</v>
      </c>
      <c r="S16" s="66">
        <v>19856</v>
      </c>
      <c r="T16" s="66">
        <v>4596</v>
      </c>
      <c r="U16" s="66">
        <v>1846</v>
      </c>
      <c r="V16" s="66">
        <v>1779</v>
      </c>
      <c r="W16" s="66">
        <v>568</v>
      </c>
      <c r="X16" s="66">
        <v>437</v>
      </c>
    </row>
    <row r="17" spans="1:24" ht="25.8">
      <c r="A17" s="3" t="s">
        <v>53</v>
      </c>
      <c r="B17" s="4">
        <v>2604514</v>
      </c>
      <c r="C17" s="4">
        <v>2643897</v>
      </c>
      <c r="D17" s="4">
        <v>2640447</v>
      </c>
      <c r="E17" s="4">
        <v>2257424</v>
      </c>
      <c r="F17" s="4">
        <v>45825</v>
      </c>
      <c r="G17" s="4">
        <v>2900343</v>
      </c>
      <c r="H17" s="4">
        <v>78972</v>
      </c>
      <c r="I17" s="4">
        <v>86301</v>
      </c>
      <c r="J17" s="5">
        <v>75109</v>
      </c>
      <c r="K17" s="6">
        <v>53023</v>
      </c>
      <c r="N17" s="65" t="s">
        <v>179</v>
      </c>
      <c r="O17" s="66">
        <v>100979</v>
      </c>
      <c r="P17" s="66">
        <v>50533</v>
      </c>
      <c r="Q17" s="66">
        <v>91147</v>
      </c>
      <c r="R17" s="66">
        <v>82965</v>
      </c>
      <c r="S17" s="66">
        <v>1852</v>
      </c>
      <c r="T17" s="66">
        <v>69423</v>
      </c>
      <c r="U17" s="66">
        <v>43760</v>
      </c>
      <c r="V17" s="66">
        <v>37448</v>
      </c>
      <c r="W17" s="66">
        <v>22</v>
      </c>
      <c r="X17" s="66">
        <v>46527</v>
      </c>
    </row>
    <row r="18" spans="1:24" ht="38.4">
      <c r="A18" s="3" t="s">
        <v>54</v>
      </c>
      <c r="B18" s="4">
        <v>164</v>
      </c>
      <c r="C18" s="4">
        <v>30</v>
      </c>
      <c r="D18" s="4">
        <v>52</v>
      </c>
      <c r="E18" s="4">
        <v>241</v>
      </c>
      <c r="F18" s="4">
        <v>2609885</v>
      </c>
      <c r="G18" s="4">
        <v>3</v>
      </c>
      <c r="H18" s="4">
        <v>3203870</v>
      </c>
      <c r="I18" s="4">
        <v>3148783</v>
      </c>
      <c r="J18" s="5">
        <v>3550988</v>
      </c>
      <c r="K18" s="6">
        <v>3595696</v>
      </c>
      <c r="N18" s="65" t="s">
        <v>180</v>
      </c>
      <c r="O18" s="66">
        <v>30</v>
      </c>
      <c r="P18" s="66">
        <v>70</v>
      </c>
      <c r="Q18" s="66">
        <v>84</v>
      </c>
      <c r="R18" s="66">
        <v>66</v>
      </c>
      <c r="S18" s="66">
        <v>55778</v>
      </c>
      <c r="T18" s="66">
        <v>27</v>
      </c>
      <c r="U18" s="66">
        <v>64</v>
      </c>
      <c r="V18" s="66">
        <v>26</v>
      </c>
      <c r="W18" s="66">
        <v>0</v>
      </c>
      <c r="X18" s="66">
        <v>13</v>
      </c>
    </row>
    <row r="19" spans="1:24" ht="26.4" thickBot="1">
      <c r="A19" s="7" t="s">
        <v>55</v>
      </c>
      <c r="B19" s="4">
        <v>4398</v>
      </c>
      <c r="C19" s="4">
        <v>2636</v>
      </c>
      <c r="D19" s="4">
        <v>5778</v>
      </c>
      <c r="E19" s="4">
        <v>1211</v>
      </c>
      <c r="F19" s="4">
        <v>7</v>
      </c>
      <c r="G19" s="4">
        <v>122</v>
      </c>
      <c r="H19" s="4">
        <v>30</v>
      </c>
      <c r="I19" s="4">
        <v>333</v>
      </c>
      <c r="J19" s="5">
        <v>54119</v>
      </c>
      <c r="K19" s="6">
        <v>4308</v>
      </c>
      <c r="N19" s="67" t="s">
        <v>181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</row>
    <row r="20" spans="1:24" ht="15.6" thickTop="1">
      <c r="A20" s="3" t="s">
        <v>56</v>
      </c>
      <c r="B20" s="4">
        <v>436370</v>
      </c>
      <c r="C20" s="4">
        <v>298507</v>
      </c>
      <c r="D20" s="4">
        <v>40715</v>
      </c>
      <c r="E20" s="4">
        <v>42535</v>
      </c>
      <c r="F20" s="4">
        <v>130</v>
      </c>
      <c r="G20" s="4">
        <v>132595</v>
      </c>
      <c r="H20" s="4">
        <v>124625</v>
      </c>
      <c r="I20" s="4">
        <v>58389</v>
      </c>
      <c r="J20" s="5">
        <v>264360</v>
      </c>
      <c r="K20" s="6">
        <v>44086</v>
      </c>
    </row>
    <row r="21" spans="1:24" ht="15">
      <c r="A21" s="3" t="s">
        <v>57</v>
      </c>
      <c r="B21" s="4">
        <v>125942</v>
      </c>
      <c r="C21" s="4">
        <v>154449</v>
      </c>
      <c r="D21" s="4">
        <v>287005</v>
      </c>
      <c r="E21" s="4">
        <v>391975</v>
      </c>
      <c r="F21" s="4">
        <v>97312</v>
      </c>
      <c r="G21" s="4">
        <v>272494</v>
      </c>
      <c r="H21" s="4">
        <v>303079</v>
      </c>
      <c r="I21" s="4">
        <v>240118</v>
      </c>
      <c r="J21" s="5">
        <v>3193114</v>
      </c>
      <c r="K21" s="6">
        <v>280140</v>
      </c>
    </row>
    <row r="22" spans="1:24" ht="15">
      <c r="A22" s="3" t="s">
        <v>58</v>
      </c>
      <c r="B22" s="4">
        <v>2464706</v>
      </c>
      <c r="C22" s="4">
        <v>2381123</v>
      </c>
      <c r="D22" s="4">
        <v>2581534</v>
      </c>
      <c r="E22" s="4">
        <v>2131960</v>
      </c>
      <c r="F22" s="4">
        <v>381036</v>
      </c>
      <c r="G22" s="4">
        <v>2719165</v>
      </c>
      <c r="H22" s="4">
        <v>2799447</v>
      </c>
      <c r="I22" s="4">
        <v>3116951</v>
      </c>
      <c r="J22" s="5">
        <v>174798</v>
      </c>
      <c r="K22" s="6">
        <v>3453885</v>
      </c>
    </row>
    <row r="23" spans="1:24" ht="15">
      <c r="A23" s="3" t="s">
        <v>59</v>
      </c>
      <c r="B23" s="4">
        <v>69206</v>
      </c>
      <c r="C23" s="4">
        <v>69745</v>
      </c>
      <c r="D23" s="4">
        <v>94750</v>
      </c>
      <c r="E23" s="4">
        <v>96887</v>
      </c>
      <c r="F23" s="4">
        <v>2466017</v>
      </c>
      <c r="G23" s="4">
        <v>159840</v>
      </c>
      <c r="H23" s="4">
        <v>159773</v>
      </c>
      <c r="I23" s="4">
        <v>196738</v>
      </c>
      <c r="J23" s="5">
        <v>24278</v>
      </c>
      <c r="K23" s="6">
        <v>148544</v>
      </c>
    </row>
    <row r="24" spans="1:24" ht="15">
      <c r="A24" s="3" t="s">
        <v>60</v>
      </c>
      <c r="B24" s="4">
        <v>8952</v>
      </c>
      <c r="C24" s="4">
        <v>7005</v>
      </c>
      <c r="D24" s="4">
        <v>14607</v>
      </c>
      <c r="E24" s="4">
        <v>11961</v>
      </c>
      <c r="F24" s="4">
        <v>121776</v>
      </c>
      <c r="G24" s="4">
        <v>35274</v>
      </c>
      <c r="H24" s="4">
        <v>28525</v>
      </c>
      <c r="I24" s="4">
        <v>23922</v>
      </c>
      <c r="J24" s="5">
        <v>12162</v>
      </c>
      <c r="K24" s="6">
        <v>20834</v>
      </c>
    </row>
    <row r="25" spans="1:24" ht="15">
      <c r="A25" s="3" t="s">
        <v>61</v>
      </c>
      <c r="B25" s="4">
        <v>7344</v>
      </c>
      <c r="C25" s="4">
        <v>4660</v>
      </c>
      <c r="D25" s="4">
        <v>3357</v>
      </c>
      <c r="E25" s="4">
        <v>6919</v>
      </c>
      <c r="F25" s="4">
        <v>22495</v>
      </c>
      <c r="G25" s="4">
        <v>25201</v>
      </c>
      <c r="H25" s="4">
        <v>16520</v>
      </c>
      <c r="I25" s="4">
        <v>17108</v>
      </c>
      <c r="J25" s="5">
        <v>22724</v>
      </c>
      <c r="K25" s="6">
        <v>9753</v>
      </c>
    </row>
    <row r="26" spans="1:24" ht="15">
      <c r="A26" s="3" t="s">
        <v>62</v>
      </c>
      <c r="B26" s="4">
        <v>60249</v>
      </c>
      <c r="C26" s="4">
        <v>41711</v>
      </c>
      <c r="D26" s="4">
        <v>32786</v>
      </c>
      <c r="E26" s="4">
        <v>18341</v>
      </c>
      <c r="F26" s="4">
        <v>17636</v>
      </c>
      <c r="G26" s="4">
        <v>46242</v>
      </c>
      <c r="H26" s="4">
        <v>42216</v>
      </c>
      <c r="I26" s="4">
        <v>32441</v>
      </c>
      <c r="J26" s="5">
        <v>14549</v>
      </c>
      <c r="K26" s="6">
        <v>21705</v>
      </c>
    </row>
    <row r="27" spans="1:24" ht="15">
      <c r="A27" s="3" t="s">
        <v>63</v>
      </c>
      <c r="B27" s="4">
        <v>12529</v>
      </c>
      <c r="C27" s="4">
        <v>15252</v>
      </c>
      <c r="D27" s="4">
        <v>18512</v>
      </c>
      <c r="E27" s="4">
        <v>9915</v>
      </c>
      <c r="F27" s="4">
        <v>34821</v>
      </c>
      <c r="G27" s="4">
        <v>35049</v>
      </c>
      <c r="H27" s="4">
        <v>18066</v>
      </c>
      <c r="I27" s="4">
        <v>15816</v>
      </c>
      <c r="J27" s="5">
        <v>436</v>
      </c>
      <c r="K27" s="6">
        <v>10628</v>
      </c>
    </row>
    <row r="28" spans="1:24" ht="15">
      <c r="A28" s="3" t="s">
        <v>64</v>
      </c>
      <c r="B28" s="4">
        <v>2511</v>
      </c>
      <c r="C28" s="4">
        <v>2567</v>
      </c>
      <c r="D28" s="4">
        <v>3754</v>
      </c>
      <c r="E28" s="4">
        <v>2494</v>
      </c>
      <c r="F28" s="4">
        <v>19856</v>
      </c>
      <c r="G28" s="4">
        <v>4596</v>
      </c>
      <c r="H28" s="4">
        <v>1846</v>
      </c>
      <c r="I28" s="4">
        <v>1779</v>
      </c>
      <c r="J28" s="5">
        <v>568</v>
      </c>
      <c r="K28" s="6">
        <v>437</v>
      </c>
    </row>
    <row r="29" spans="1:24" ht="15">
      <c r="A29" s="3" t="s">
        <v>65</v>
      </c>
      <c r="B29" s="4">
        <v>8</v>
      </c>
      <c r="C29" s="4">
        <v>430</v>
      </c>
      <c r="D29" s="4">
        <v>695</v>
      </c>
      <c r="E29" s="4">
        <v>1218</v>
      </c>
      <c r="F29" s="4">
        <v>2794</v>
      </c>
      <c r="G29" s="4">
        <v>20</v>
      </c>
      <c r="H29" s="4">
        <v>34</v>
      </c>
      <c r="I29" s="4">
        <v>114</v>
      </c>
      <c r="J29" s="5">
        <v>51919</v>
      </c>
      <c r="K29" s="6">
        <v>1982</v>
      </c>
    </row>
    <row r="30" spans="1:24" ht="15">
      <c r="A30" s="3" t="s">
        <v>66</v>
      </c>
      <c r="B30" s="4">
        <v>100979</v>
      </c>
      <c r="C30" s="4">
        <v>50533</v>
      </c>
      <c r="D30" s="4">
        <v>91147</v>
      </c>
      <c r="E30" s="4">
        <v>82965</v>
      </c>
      <c r="F30" s="4">
        <v>1852</v>
      </c>
      <c r="G30" s="4">
        <v>69423</v>
      </c>
      <c r="H30" s="4">
        <v>43760</v>
      </c>
      <c r="I30" s="4">
        <v>37448</v>
      </c>
      <c r="J30" s="5">
        <v>22</v>
      </c>
      <c r="K30" s="6">
        <v>46527</v>
      </c>
    </row>
    <row r="31" spans="1:24" ht="15">
      <c r="A31" s="3" t="s">
        <v>67</v>
      </c>
      <c r="B31" s="4">
        <v>30</v>
      </c>
      <c r="C31" s="4">
        <v>70</v>
      </c>
      <c r="D31" s="4">
        <v>84</v>
      </c>
      <c r="E31" s="4">
        <v>66</v>
      </c>
      <c r="F31" s="4">
        <v>55778</v>
      </c>
      <c r="G31" s="4">
        <v>27</v>
      </c>
      <c r="H31" s="4">
        <v>64</v>
      </c>
      <c r="I31" s="4">
        <v>26</v>
      </c>
      <c r="J31" s="5">
        <v>0</v>
      </c>
      <c r="K31" s="6">
        <v>13</v>
      </c>
    </row>
    <row r="32" spans="1:24" ht="15">
      <c r="A32" s="3" t="s">
        <v>68</v>
      </c>
      <c r="B32" s="4">
        <v>42</v>
      </c>
      <c r="C32" s="4">
        <v>0</v>
      </c>
      <c r="D32" s="4">
        <v>0</v>
      </c>
      <c r="E32" s="4">
        <v>573</v>
      </c>
      <c r="F32" s="4">
        <v>32</v>
      </c>
      <c r="G32" s="4">
        <v>0</v>
      </c>
      <c r="H32" s="4">
        <v>0</v>
      </c>
      <c r="I32" s="4">
        <v>21</v>
      </c>
      <c r="J32" s="6">
        <v>0</v>
      </c>
      <c r="K32" s="6">
        <v>0</v>
      </c>
    </row>
    <row r="33" spans="1:11">
      <c r="A33" s="8" t="s">
        <v>69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</row>
    <row r="34" spans="1:11">
      <c r="A34" s="3" t="s">
        <v>70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184756</v>
      </c>
      <c r="I34" s="4">
        <v>219249</v>
      </c>
      <c r="J34" s="4">
        <v>0</v>
      </c>
      <c r="K34" s="4">
        <v>0</v>
      </c>
    </row>
    <row r="35" spans="1:11">
      <c r="A35" s="3" t="s">
        <v>71</v>
      </c>
      <c r="B35" s="4">
        <v>0</v>
      </c>
      <c r="C35" s="4">
        <v>0</v>
      </c>
      <c r="D35" s="4">
        <v>0</v>
      </c>
      <c r="E35" s="4">
        <v>7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11">
      <c r="A36" s="3" t="s">
        <v>72</v>
      </c>
      <c r="B36" s="4">
        <v>0</v>
      </c>
      <c r="C36" s="4">
        <v>0</v>
      </c>
      <c r="D36" s="4">
        <v>12</v>
      </c>
      <c r="E36" s="4">
        <v>0</v>
      </c>
      <c r="F36" s="4">
        <v>0</v>
      </c>
      <c r="G36" s="4">
        <v>22</v>
      </c>
      <c r="H36" s="4">
        <v>0</v>
      </c>
      <c r="I36" s="4">
        <v>0</v>
      </c>
      <c r="J36" s="4">
        <v>0</v>
      </c>
      <c r="K36" s="4">
        <v>0</v>
      </c>
    </row>
    <row r="37" spans="1:11">
      <c r="A37" s="3" t="s">
        <v>73</v>
      </c>
      <c r="B37" s="4">
        <v>0</v>
      </c>
      <c r="C37" s="4">
        <v>0</v>
      </c>
      <c r="D37" s="4">
        <v>0</v>
      </c>
      <c r="E37" s="4">
        <v>0</v>
      </c>
      <c r="F37" s="4"/>
      <c r="G37" s="4">
        <v>0</v>
      </c>
      <c r="H37" s="4">
        <v>0</v>
      </c>
      <c r="I37" s="4">
        <v>0</v>
      </c>
      <c r="J37" s="4">
        <v>0</v>
      </c>
      <c r="K37" s="4">
        <v>0</v>
      </c>
    </row>
    <row r="38" spans="1:11">
      <c r="A38" s="3" t="s">
        <v>74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</row>
    <row r="39" spans="1:11">
      <c r="A39" s="3" t="s">
        <v>75</v>
      </c>
      <c r="B39" s="4">
        <v>2</v>
      </c>
      <c r="C39" s="4">
        <v>59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</row>
    <row r="40" spans="1:11" ht="15">
      <c r="A40" s="3" t="s">
        <v>76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176</v>
      </c>
      <c r="K40" s="4">
        <v>0</v>
      </c>
    </row>
    <row r="41" spans="1:11" ht="15">
      <c r="A41" s="3" t="s">
        <v>77</v>
      </c>
      <c r="B41" s="4">
        <v>3004</v>
      </c>
      <c r="C41" s="4">
        <v>3583</v>
      </c>
      <c r="D41" s="4">
        <v>3622</v>
      </c>
      <c r="E41" s="4">
        <v>2175</v>
      </c>
      <c r="F41" s="4">
        <v>0</v>
      </c>
      <c r="G41" s="4">
        <v>1938</v>
      </c>
      <c r="H41" s="4">
        <v>633</v>
      </c>
      <c r="I41" s="4">
        <v>1380</v>
      </c>
      <c r="J41" s="9">
        <v>16</v>
      </c>
      <c r="K41" s="6">
        <v>813</v>
      </c>
    </row>
    <row r="42" spans="1:11" ht="15">
      <c r="A42" s="3" t="s">
        <v>78</v>
      </c>
      <c r="B42" s="4">
        <v>22564</v>
      </c>
      <c r="C42" s="4">
        <v>319</v>
      </c>
      <c r="D42" s="4">
        <v>1243</v>
      </c>
      <c r="E42" s="4">
        <v>113</v>
      </c>
      <c r="F42" s="4">
        <v>860</v>
      </c>
      <c r="G42" s="4"/>
      <c r="H42" s="4">
        <v>0</v>
      </c>
      <c r="I42" s="4">
        <v>0</v>
      </c>
      <c r="J42" s="5">
        <v>2</v>
      </c>
      <c r="K4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B88F-1BDB-491D-B0CD-238F54C41EE1}">
  <dimension ref="A1:E18"/>
  <sheetViews>
    <sheetView workbookViewId="0">
      <selection activeCell="B22" sqref="B22"/>
    </sheetView>
  </sheetViews>
  <sheetFormatPr defaultRowHeight="14.4"/>
  <cols>
    <col min="1" max="1" width="17.88671875" bestFit="1" customWidth="1"/>
    <col min="2" max="2" width="24.5546875" bestFit="1" customWidth="1"/>
    <col min="3" max="3" width="25.77734375" bestFit="1" customWidth="1"/>
    <col min="4" max="4" width="17.88671875" bestFit="1" customWidth="1"/>
    <col min="5" max="5" width="15.109375" bestFit="1" customWidth="1"/>
    <col min="7" max="7" width="17.88671875" bestFit="1" customWidth="1"/>
    <col min="8" max="8" width="24.5546875" bestFit="1" customWidth="1"/>
    <col min="9" max="9" width="40.44140625" bestFit="1" customWidth="1"/>
    <col min="10" max="10" width="45" bestFit="1" customWidth="1"/>
  </cols>
  <sheetData>
    <row r="1" spans="1:5" ht="15" thickBot="1">
      <c r="A1" s="12" t="s">
        <v>0</v>
      </c>
      <c r="B1" s="12" t="s">
        <v>1</v>
      </c>
      <c r="C1" s="10" t="s">
        <v>79</v>
      </c>
      <c r="D1" s="12" t="s">
        <v>80</v>
      </c>
      <c r="E1" s="12" t="s">
        <v>81</v>
      </c>
    </row>
    <row r="2" spans="1:5" ht="15" thickBot="1">
      <c r="A2" s="12" t="s">
        <v>2</v>
      </c>
      <c r="B2" s="13" t="s">
        <v>3</v>
      </c>
      <c r="C2" s="11">
        <v>167.20500000000001</v>
      </c>
      <c r="D2" s="14">
        <v>2.4303000000000002E-2</v>
      </c>
      <c r="E2" s="14">
        <v>6.82</v>
      </c>
    </row>
    <row r="3" spans="1:5" ht="15" thickBot="1">
      <c r="A3" s="14"/>
      <c r="B3" s="13" t="s">
        <v>4</v>
      </c>
      <c r="C3" s="11">
        <v>281.76900000000001</v>
      </c>
      <c r="D3" s="14">
        <v>4.0954999999999998E-2</v>
      </c>
      <c r="E3" s="14">
        <v>11.5</v>
      </c>
    </row>
    <row r="4" spans="1:5" ht="15" thickBot="1">
      <c r="A4" s="14"/>
      <c r="B4" s="13" t="s">
        <v>5</v>
      </c>
      <c r="C4" s="11">
        <v>81.424000000000007</v>
      </c>
      <c r="D4" s="14">
        <v>1.1835E-2</v>
      </c>
      <c r="E4" s="14">
        <v>3.32</v>
      </c>
    </row>
    <row r="5" spans="1:5" ht="15" thickBot="1">
      <c r="A5" s="14"/>
      <c r="B5" s="13" t="s">
        <v>6</v>
      </c>
      <c r="C5" s="11">
        <v>686.49300000000005</v>
      </c>
      <c r="D5" s="14">
        <v>9.9780999999999995E-2</v>
      </c>
      <c r="E5" s="14">
        <v>28.01</v>
      </c>
    </row>
    <row r="6" spans="1:5" ht="15" thickBot="1">
      <c r="A6" s="14"/>
      <c r="B6" s="13" t="s">
        <v>7</v>
      </c>
      <c r="C6" s="11">
        <v>1233.981</v>
      </c>
      <c r="D6" s="14">
        <v>0.17935799999999999</v>
      </c>
      <c r="E6" s="14">
        <v>50.35</v>
      </c>
    </row>
    <row r="7" spans="1:5" ht="15" thickBot="1">
      <c r="A7" s="12" t="s">
        <v>8</v>
      </c>
      <c r="B7" s="13" t="s">
        <v>9</v>
      </c>
      <c r="C7" s="11">
        <v>260.52999999999997</v>
      </c>
      <c r="D7" s="14">
        <v>3.7867999999999999E-2</v>
      </c>
      <c r="E7" s="14">
        <v>88.84</v>
      </c>
    </row>
    <row r="8" spans="1:5" ht="15" thickBot="1">
      <c r="A8" s="14"/>
      <c r="B8" s="13" t="s">
        <v>10</v>
      </c>
      <c r="C8" s="11">
        <v>32.738</v>
      </c>
      <c r="D8" s="14">
        <v>4.7580000000000001E-3</v>
      </c>
      <c r="E8" s="14">
        <v>11.16</v>
      </c>
    </row>
    <row r="9" spans="1:5" ht="15" thickBot="1">
      <c r="A9" s="12" t="s">
        <v>11</v>
      </c>
      <c r="B9" s="13" t="s">
        <v>12</v>
      </c>
      <c r="C9" s="11">
        <v>101.59399999999999</v>
      </c>
      <c r="D9" s="14">
        <v>1.4767000000000001E-2</v>
      </c>
      <c r="E9" s="14">
        <v>1.49</v>
      </c>
    </row>
    <row r="10" spans="1:5" ht="15" thickBot="1">
      <c r="A10" s="14"/>
      <c r="B10" s="13" t="s">
        <v>13</v>
      </c>
      <c r="C10" s="11">
        <v>6721.5039999999999</v>
      </c>
      <c r="D10" s="14">
        <v>0.97696300000000003</v>
      </c>
      <c r="E10" s="14">
        <v>98.51</v>
      </c>
    </row>
    <row r="11" spans="1:5" ht="15" thickBot="1">
      <c r="A11" s="12" t="s">
        <v>14</v>
      </c>
      <c r="B11" s="13" t="s">
        <v>15</v>
      </c>
      <c r="C11" s="11">
        <v>43000.152000000002</v>
      </c>
      <c r="D11" s="14">
        <v>6.2500220000000004</v>
      </c>
      <c r="E11" s="14">
        <v>49.76</v>
      </c>
    </row>
    <row r="12" spans="1:5" ht="15" thickBot="1">
      <c r="A12" s="14"/>
      <c r="B12" s="13" t="s">
        <v>16</v>
      </c>
      <c r="C12" s="11">
        <v>43407.589</v>
      </c>
      <c r="D12" s="14">
        <v>6.3092430000000004</v>
      </c>
      <c r="E12" s="14">
        <v>50.24</v>
      </c>
    </row>
    <row r="13" spans="1:5" ht="15" thickBot="1">
      <c r="A13" s="12" t="s">
        <v>17</v>
      </c>
      <c r="B13" s="13" t="s">
        <v>18</v>
      </c>
      <c r="C13" s="11">
        <v>422.93299999999999</v>
      </c>
      <c r="D13" s="14">
        <v>6.1473E-2</v>
      </c>
      <c r="E13" s="14">
        <v>51.52</v>
      </c>
    </row>
    <row r="14" spans="1:5" ht="15" thickBot="1">
      <c r="A14" s="14"/>
      <c r="B14" s="13" t="s">
        <v>19</v>
      </c>
      <c r="C14" s="11">
        <v>65.084999999999994</v>
      </c>
      <c r="D14" s="14">
        <v>9.4599999999999997E-3</v>
      </c>
      <c r="E14" s="14">
        <v>7.93</v>
      </c>
    </row>
    <row r="15" spans="1:5" ht="15" thickBot="1">
      <c r="A15" s="14"/>
      <c r="B15" s="13" t="s">
        <v>20</v>
      </c>
      <c r="C15" s="11">
        <v>316.12200000000001</v>
      </c>
      <c r="D15" s="14">
        <v>4.5948000000000003E-2</v>
      </c>
      <c r="E15" s="14">
        <v>40.549999999999997</v>
      </c>
    </row>
    <row r="16" spans="1:5" ht="15" thickBot="1">
      <c r="A16" s="12" t="s">
        <v>21</v>
      </c>
      <c r="B16" s="13" t="s">
        <v>22</v>
      </c>
      <c r="C16" s="11">
        <v>1098.963</v>
      </c>
      <c r="D16" s="14">
        <v>0.15973300000000001</v>
      </c>
      <c r="E16" s="14">
        <v>100</v>
      </c>
    </row>
    <row r="17" spans="1:5" ht="15" thickBot="1">
      <c r="A17" s="12" t="s">
        <v>23</v>
      </c>
      <c r="B17" s="13" t="s">
        <v>24</v>
      </c>
      <c r="C17" s="11">
        <v>633.35</v>
      </c>
      <c r="D17" s="14">
        <v>9.2057E-2</v>
      </c>
      <c r="E17" s="14">
        <v>100</v>
      </c>
    </row>
    <row r="18" spans="1:5" ht="15" thickBot="1">
      <c r="A18" s="12" t="s">
        <v>25</v>
      </c>
      <c r="B18" s="13" t="s">
        <v>26</v>
      </c>
      <c r="C18" s="11">
        <v>0.68200000000000005</v>
      </c>
      <c r="D18" s="14">
        <v>9.8999999999999994E-5</v>
      </c>
      <c r="E18" s="1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4738-EED6-4976-8D4B-A1CD99503685}">
  <dimension ref="A1:J18"/>
  <sheetViews>
    <sheetView workbookViewId="0">
      <selection activeCell="D24" sqref="D24"/>
    </sheetView>
  </sheetViews>
  <sheetFormatPr defaultRowHeight="14.4"/>
  <cols>
    <col min="1" max="1" width="19.21875" style="15" bestFit="1" customWidth="1"/>
    <col min="2" max="2" width="26" style="15" bestFit="1" customWidth="1"/>
    <col min="3" max="3" width="9.88671875" bestFit="1" customWidth="1"/>
    <col min="4" max="4" width="8.21875" bestFit="1" customWidth="1"/>
    <col min="5" max="5" width="8.44140625" bestFit="1" customWidth="1"/>
    <col min="6" max="6" width="7.88671875" bestFit="1" customWidth="1"/>
    <col min="7" max="7" width="8" bestFit="1" customWidth="1"/>
    <col min="8" max="8" width="6.77734375" bestFit="1" customWidth="1"/>
    <col min="9" max="10" width="22.77734375" bestFit="1" customWidth="1"/>
  </cols>
  <sheetData>
    <row r="1" spans="1:10" ht="15" thickBot="1">
      <c r="A1" s="19" t="s">
        <v>0</v>
      </c>
      <c r="B1" s="16" t="s">
        <v>1</v>
      </c>
      <c r="C1" s="16" t="s">
        <v>82</v>
      </c>
      <c r="D1" s="16" t="s">
        <v>83</v>
      </c>
      <c r="E1" s="16" t="s">
        <v>84</v>
      </c>
      <c r="F1" s="16" t="s">
        <v>85</v>
      </c>
      <c r="G1" s="16" t="s">
        <v>86</v>
      </c>
      <c r="H1" s="16" t="s">
        <v>87</v>
      </c>
      <c r="I1" s="16" t="s">
        <v>88</v>
      </c>
      <c r="J1" s="16"/>
    </row>
    <row r="2" spans="1:10" ht="15" thickBot="1">
      <c r="A2" s="19" t="s">
        <v>89</v>
      </c>
      <c r="B2" s="17" t="s">
        <v>3</v>
      </c>
      <c r="C2" s="18">
        <v>93.28</v>
      </c>
      <c r="D2" s="18">
        <v>0.92</v>
      </c>
      <c r="E2" s="18">
        <v>1.22</v>
      </c>
      <c r="F2" s="18">
        <v>2.5299999999999998</v>
      </c>
      <c r="G2" s="18">
        <v>1.31</v>
      </c>
      <c r="H2" s="18">
        <v>0.52</v>
      </c>
      <c r="I2" s="18" t="s">
        <v>90</v>
      </c>
      <c r="J2" s="11" t="s">
        <v>124</v>
      </c>
    </row>
    <row r="3" spans="1:10" ht="15" thickBot="1">
      <c r="A3" s="18"/>
      <c r="B3" s="17" t="s">
        <v>4</v>
      </c>
      <c r="C3" s="18">
        <v>93.68</v>
      </c>
      <c r="D3" s="18">
        <v>0.56999999999999995</v>
      </c>
      <c r="E3" s="18">
        <v>0.9</v>
      </c>
      <c r="F3" s="18">
        <v>1.91</v>
      </c>
      <c r="G3" s="18">
        <v>1.01</v>
      </c>
      <c r="H3" s="18">
        <v>0.59</v>
      </c>
      <c r="I3" s="18" t="s">
        <v>91</v>
      </c>
      <c r="J3" s="11" t="s">
        <v>132</v>
      </c>
    </row>
    <row r="4" spans="1:10" ht="15" thickBot="1">
      <c r="A4" s="18"/>
      <c r="B4" s="17" t="s">
        <v>5</v>
      </c>
      <c r="C4" s="18">
        <v>73</v>
      </c>
      <c r="D4" s="18">
        <v>0.56000000000000005</v>
      </c>
      <c r="E4" s="18">
        <v>0.75</v>
      </c>
      <c r="F4" s="18">
        <v>1.87</v>
      </c>
      <c r="G4" s="18">
        <v>1.1200000000000001</v>
      </c>
      <c r="H4" s="18">
        <v>0.6</v>
      </c>
      <c r="I4" s="18" t="s">
        <v>92</v>
      </c>
      <c r="J4" s="11" t="s">
        <v>125</v>
      </c>
    </row>
    <row r="5" spans="1:10" ht="15" thickBot="1">
      <c r="A5" s="18"/>
      <c r="B5" s="17" t="s">
        <v>6</v>
      </c>
      <c r="C5" s="18">
        <v>49.3</v>
      </c>
      <c r="D5" s="18">
        <v>0.63</v>
      </c>
      <c r="E5" s="18">
        <v>1.1100000000000001</v>
      </c>
      <c r="F5" s="18">
        <v>4.59</v>
      </c>
      <c r="G5" s="18">
        <v>3.48</v>
      </c>
      <c r="H5" s="18">
        <v>0.76</v>
      </c>
      <c r="I5" s="18" t="s">
        <v>93</v>
      </c>
      <c r="J5" s="11" t="s">
        <v>133</v>
      </c>
    </row>
    <row r="6" spans="1:10" ht="15" thickBot="1">
      <c r="A6" s="18"/>
      <c r="B6" s="17" t="s">
        <v>7</v>
      </c>
      <c r="C6" s="18">
        <v>32.1</v>
      </c>
      <c r="D6" s="18">
        <v>1.5</v>
      </c>
      <c r="E6" s="18">
        <v>2.29</v>
      </c>
      <c r="F6" s="18">
        <v>3.68</v>
      </c>
      <c r="G6" s="18">
        <v>1.4</v>
      </c>
      <c r="H6" s="18">
        <v>0.38</v>
      </c>
      <c r="I6" s="18" t="s">
        <v>94</v>
      </c>
      <c r="J6" s="11" t="s">
        <v>134</v>
      </c>
    </row>
    <row r="7" spans="1:10" ht="15" thickBot="1">
      <c r="A7" s="19" t="s">
        <v>95</v>
      </c>
      <c r="B7" s="17" t="s">
        <v>9</v>
      </c>
      <c r="C7" s="18">
        <v>63</v>
      </c>
      <c r="D7" s="18">
        <v>0.77</v>
      </c>
      <c r="E7" s="18">
        <v>1.24</v>
      </c>
      <c r="F7" s="18">
        <v>2.4500000000000002</v>
      </c>
      <c r="G7" s="18">
        <v>1.21</v>
      </c>
      <c r="H7" s="18">
        <v>0.49</v>
      </c>
      <c r="I7" s="18" t="s">
        <v>96</v>
      </c>
      <c r="J7" s="11" t="s">
        <v>135</v>
      </c>
    </row>
    <row r="8" spans="1:10" ht="28.2" thickBot="1">
      <c r="A8" s="18"/>
      <c r="B8" s="17" t="s">
        <v>10</v>
      </c>
      <c r="C8" s="18">
        <v>24</v>
      </c>
      <c r="D8" s="18">
        <v>0.9</v>
      </c>
      <c r="E8" s="18">
        <v>2.16</v>
      </c>
      <c r="F8" s="18">
        <v>3.13</v>
      </c>
      <c r="G8" s="18">
        <v>1.5649999999999999</v>
      </c>
      <c r="H8" s="18">
        <v>0.5</v>
      </c>
      <c r="I8" s="18" t="s">
        <v>97</v>
      </c>
      <c r="J8" s="11" t="s">
        <v>130</v>
      </c>
    </row>
    <row r="9" spans="1:10" ht="15" thickBot="1">
      <c r="A9" s="19" t="s">
        <v>98</v>
      </c>
      <c r="B9" s="17" t="s">
        <v>12</v>
      </c>
      <c r="C9" s="18">
        <v>40.799999999999997</v>
      </c>
      <c r="D9" s="18">
        <v>0.49</v>
      </c>
      <c r="E9" s="18">
        <v>0.91</v>
      </c>
      <c r="F9" s="18">
        <v>1.1599999999999999</v>
      </c>
      <c r="G9" s="18">
        <v>0.24</v>
      </c>
      <c r="H9" s="18">
        <v>0.2</v>
      </c>
      <c r="I9" s="18" t="s">
        <v>99</v>
      </c>
      <c r="J9" s="11" t="s">
        <v>137</v>
      </c>
    </row>
    <row r="10" spans="1:10" ht="15" thickBot="1">
      <c r="A10" s="18"/>
      <c r="B10" s="17" t="s">
        <v>13</v>
      </c>
      <c r="C10" s="18">
        <v>10.46</v>
      </c>
      <c r="D10" s="18">
        <v>0.95</v>
      </c>
      <c r="E10" s="18">
        <v>1.22</v>
      </c>
      <c r="F10" s="18">
        <v>3.26</v>
      </c>
      <c r="G10" s="18">
        <v>2.04</v>
      </c>
      <c r="H10" s="18">
        <v>0.63</v>
      </c>
      <c r="I10" s="18" t="s">
        <v>100</v>
      </c>
      <c r="J10" s="11" t="s">
        <v>126</v>
      </c>
    </row>
    <row r="11" spans="1:10" ht="15" thickBot="1">
      <c r="A11" s="19" t="s">
        <v>101</v>
      </c>
      <c r="B11" s="17" t="s">
        <v>15</v>
      </c>
      <c r="C11" s="18">
        <v>5.03</v>
      </c>
      <c r="D11" s="18">
        <v>2.62</v>
      </c>
      <c r="E11" s="18">
        <v>1.35</v>
      </c>
      <c r="F11" s="18">
        <v>4.75</v>
      </c>
      <c r="G11" s="18">
        <v>3.4</v>
      </c>
      <c r="H11" s="18">
        <v>0.72</v>
      </c>
      <c r="I11" s="18" t="s">
        <v>102</v>
      </c>
      <c r="J11" s="11" t="s">
        <v>127</v>
      </c>
    </row>
    <row r="12" spans="1:10" ht="15" thickBot="1">
      <c r="A12" s="18"/>
      <c r="B12" s="17" t="s">
        <v>16</v>
      </c>
      <c r="C12" s="18">
        <v>19.59</v>
      </c>
      <c r="D12" s="18">
        <v>0.56000000000000005</v>
      </c>
      <c r="E12" s="18">
        <v>1.37</v>
      </c>
      <c r="F12" s="18">
        <v>2.95</v>
      </c>
      <c r="G12" s="18">
        <v>1.58</v>
      </c>
      <c r="H12" s="18">
        <v>0.54</v>
      </c>
      <c r="I12" s="18" t="s">
        <v>103</v>
      </c>
      <c r="J12" s="11" t="s">
        <v>136</v>
      </c>
    </row>
    <row r="13" spans="1:10" ht="15" thickBot="1">
      <c r="A13" s="19" t="s">
        <v>104</v>
      </c>
      <c r="B13" s="17" t="s">
        <v>105</v>
      </c>
      <c r="C13" s="18">
        <v>99.75</v>
      </c>
      <c r="D13" s="18">
        <v>1.3</v>
      </c>
      <c r="E13" s="18">
        <v>1.47</v>
      </c>
      <c r="F13" s="18">
        <v>3.37</v>
      </c>
      <c r="G13" s="18">
        <v>1.9</v>
      </c>
      <c r="H13" s="18">
        <v>0.56000000000000005</v>
      </c>
      <c r="I13" s="18" t="s">
        <v>102</v>
      </c>
      <c r="J13" s="11" t="s">
        <v>127</v>
      </c>
    </row>
    <row r="14" spans="1:10" ht="15" thickBot="1">
      <c r="A14" s="18"/>
      <c r="B14" s="17" t="s">
        <v>19</v>
      </c>
      <c r="C14" s="18">
        <v>21</v>
      </c>
      <c r="D14" s="18">
        <v>1</v>
      </c>
      <c r="E14" s="18">
        <v>1.92</v>
      </c>
      <c r="F14" s="18">
        <v>2.21</v>
      </c>
      <c r="G14" s="18">
        <v>0.28999999999999998</v>
      </c>
      <c r="H14" s="18">
        <v>0.13</v>
      </c>
      <c r="I14" s="18" t="s">
        <v>106</v>
      </c>
      <c r="J14" s="11" t="s">
        <v>128</v>
      </c>
    </row>
    <row r="15" spans="1:10" ht="15" thickBot="1">
      <c r="A15" s="18"/>
      <c r="B15" s="17" t="s">
        <v>20</v>
      </c>
      <c r="C15" s="18">
        <v>19.34</v>
      </c>
      <c r="D15" s="18">
        <v>0.94</v>
      </c>
      <c r="E15" s="18">
        <v>1.55</v>
      </c>
      <c r="F15" s="18">
        <v>4.3</v>
      </c>
      <c r="G15" s="18">
        <v>2.75</v>
      </c>
      <c r="H15" s="18">
        <v>0.64</v>
      </c>
      <c r="I15" s="18" t="s">
        <v>102</v>
      </c>
      <c r="J15" s="11" t="s">
        <v>138</v>
      </c>
    </row>
    <row r="16" spans="1:10" ht="15" thickBot="1">
      <c r="A16" s="19" t="s">
        <v>107</v>
      </c>
      <c r="B16" s="17" t="s">
        <v>22</v>
      </c>
      <c r="C16" s="18">
        <v>55.59</v>
      </c>
      <c r="D16" s="18">
        <v>0.39</v>
      </c>
      <c r="E16" s="18">
        <v>0.8</v>
      </c>
      <c r="F16" s="18">
        <v>1.39</v>
      </c>
      <c r="G16" s="18">
        <v>0.59</v>
      </c>
      <c r="H16" s="18">
        <v>0.42</v>
      </c>
      <c r="I16" s="18" t="s">
        <v>91</v>
      </c>
      <c r="J16" s="11" t="s">
        <v>132</v>
      </c>
    </row>
    <row r="17" spans="1:10" ht="15" thickBot="1">
      <c r="A17" s="19" t="s">
        <v>108</v>
      </c>
      <c r="B17" s="17" t="s">
        <v>24</v>
      </c>
      <c r="C17" s="18">
        <v>34.909999999999997</v>
      </c>
      <c r="D17" s="18">
        <v>0.38</v>
      </c>
      <c r="E17" s="18">
        <v>0.91</v>
      </c>
      <c r="F17" s="18">
        <v>1.19</v>
      </c>
      <c r="G17" s="18">
        <v>0.28000000000000003</v>
      </c>
      <c r="H17" s="18">
        <v>0.24</v>
      </c>
      <c r="I17" s="18" t="s">
        <v>109</v>
      </c>
      <c r="J17" s="11" t="s">
        <v>129</v>
      </c>
    </row>
    <row r="18" spans="1:10" ht="15" thickBot="1">
      <c r="A18" s="19" t="s">
        <v>110</v>
      </c>
      <c r="B18" s="17" t="s">
        <v>26</v>
      </c>
      <c r="C18" s="18">
        <v>17.100000000000001</v>
      </c>
      <c r="D18" s="18">
        <v>1.4</v>
      </c>
      <c r="E18" s="18">
        <v>2.52</v>
      </c>
      <c r="F18" s="18">
        <v>3.79</v>
      </c>
      <c r="G18" s="18">
        <v>1.89</v>
      </c>
      <c r="H18" s="18">
        <v>0.5</v>
      </c>
      <c r="I18" s="18" t="s">
        <v>97</v>
      </c>
      <c r="J18" s="11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9F8E-6041-4C34-A2F5-001FD706A61E}">
  <dimension ref="A1:U35"/>
  <sheetViews>
    <sheetView zoomScaleNormal="100" workbookViewId="0">
      <selection activeCell="N7" sqref="N7:N8"/>
    </sheetView>
  </sheetViews>
  <sheetFormatPr defaultRowHeight="14.4"/>
  <cols>
    <col min="1" max="1" width="17.88671875" bestFit="1" customWidth="1"/>
    <col min="2" max="2" width="24.5546875" bestFit="1" customWidth="1"/>
    <col min="3" max="3" width="25.77734375" bestFit="1" customWidth="1"/>
    <col min="4" max="4" width="17.88671875" bestFit="1" customWidth="1"/>
    <col min="5" max="5" width="15.109375" bestFit="1" customWidth="1"/>
    <col min="6" max="6" width="15.109375" customWidth="1"/>
    <col min="7" max="7" width="9.88671875" bestFit="1" customWidth="1"/>
    <col min="8" max="8" width="8.21875" bestFit="1" customWidth="1"/>
    <col min="9" max="9" width="8.44140625" bestFit="1" customWidth="1"/>
    <col min="10" max="10" width="7.88671875" bestFit="1" customWidth="1"/>
    <col min="11" max="11" width="8" bestFit="1" customWidth="1"/>
    <col min="12" max="12" width="6.77734375" bestFit="1" customWidth="1"/>
    <col min="13" max="13" width="16" style="45" bestFit="1" customWidth="1"/>
    <col min="14" max="16" width="8.88671875" style="45"/>
    <col min="17" max="17" width="14.6640625" style="45" bestFit="1" customWidth="1"/>
  </cols>
  <sheetData>
    <row r="1" spans="1:21" ht="15" thickBot="1">
      <c r="A1" s="12" t="s">
        <v>0</v>
      </c>
      <c r="B1" s="12" t="s">
        <v>1</v>
      </c>
      <c r="C1" s="10" t="s">
        <v>79</v>
      </c>
      <c r="D1" s="12" t="s">
        <v>80</v>
      </c>
      <c r="E1" s="12" t="s">
        <v>81</v>
      </c>
      <c r="F1" s="12" t="s">
        <v>111</v>
      </c>
      <c r="G1" s="16" t="s">
        <v>82</v>
      </c>
      <c r="H1" s="16" t="s">
        <v>83</v>
      </c>
      <c r="I1" s="16" t="s">
        <v>84</v>
      </c>
      <c r="J1" s="16" t="s">
        <v>85</v>
      </c>
      <c r="K1" s="16" t="s">
        <v>86</v>
      </c>
      <c r="L1" s="16" t="s">
        <v>87</v>
      </c>
      <c r="M1" s="45" t="str">
        <f>F1&amp;J1</f>
        <v>ProportionZ (/yr)</v>
      </c>
      <c r="N1" s="45" t="s">
        <v>131</v>
      </c>
      <c r="O1" s="50"/>
      <c r="P1" s="50"/>
      <c r="Q1" s="50"/>
      <c r="R1" s="50"/>
      <c r="S1" s="50"/>
      <c r="T1" s="50"/>
      <c r="U1" s="50"/>
    </row>
    <row r="2" spans="1:21" s="25" customFormat="1" ht="15" thickBot="1">
      <c r="A2" s="20" t="s">
        <v>2</v>
      </c>
      <c r="B2" s="21" t="s">
        <v>3</v>
      </c>
      <c r="C2" s="22">
        <v>167.20500000000001</v>
      </c>
      <c r="D2" s="23">
        <v>2.4303000000000002E-2</v>
      </c>
      <c r="E2" s="23">
        <v>6.82</v>
      </c>
      <c r="F2" s="44">
        <f>E2/100</f>
        <v>6.8199999999999997E-2</v>
      </c>
      <c r="G2" s="24">
        <v>93.28</v>
      </c>
      <c r="H2" s="24">
        <v>0.92</v>
      </c>
      <c r="I2" s="24">
        <v>1.22</v>
      </c>
      <c r="J2" s="24">
        <v>2.5299999999999998</v>
      </c>
      <c r="K2" s="24">
        <v>1.31</v>
      </c>
      <c r="L2" s="24">
        <v>0.52</v>
      </c>
      <c r="M2" s="46">
        <f>F2*J2</f>
        <v>0.17254599999999998</v>
      </c>
      <c r="N2" s="59">
        <f>SUM(M2:M6)</f>
        <v>3.5928190000000004</v>
      </c>
      <c r="O2" s="52"/>
      <c r="P2" s="52"/>
      <c r="Q2" s="53"/>
      <c r="R2" s="52"/>
      <c r="S2" s="52"/>
      <c r="T2" s="52"/>
      <c r="U2" s="51"/>
    </row>
    <row r="3" spans="1:21" s="25" customFormat="1" ht="15" thickBot="1">
      <c r="A3" s="23"/>
      <c r="B3" s="21" t="s">
        <v>4</v>
      </c>
      <c r="C3" s="22">
        <v>281.76900000000001</v>
      </c>
      <c r="D3" s="23">
        <v>4.0954999999999998E-2</v>
      </c>
      <c r="E3" s="23">
        <v>11.5</v>
      </c>
      <c r="F3" s="44">
        <f t="shared" ref="F3:F18" si="0">E3/100</f>
        <v>0.115</v>
      </c>
      <c r="G3" s="24">
        <v>93.68</v>
      </c>
      <c r="H3" s="24">
        <v>0.56999999999999995</v>
      </c>
      <c r="I3" s="24">
        <v>0.9</v>
      </c>
      <c r="J3" s="24">
        <v>1.91</v>
      </c>
      <c r="K3" s="24">
        <v>1.01</v>
      </c>
      <c r="L3" s="24">
        <v>0.59</v>
      </c>
      <c r="M3" s="46">
        <f t="shared" ref="M3:M18" si="1">F3*J3</f>
        <v>0.21965000000000001</v>
      </c>
      <c r="N3" s="59"/>
      <c r="O3" s="52"/>
      <c r="P3" s="52"/>
      <c r="Q3" s="53"/>
      <c r="R3" s="52"/>
      <c r="S3" s="52"/>
      <c r="T3" s="52"/>
      <c r="U3" s="51"/>
    </row>
    <row r="4" spans="1:21" s="25" customFormat="1" ht="15" thickBot="1">
      <c r="A4" s="23"/>
      <c r="B4" s="21" t="s">
        <v>5</v>
      </c>
      <c r="C4" s="22">
        <v>81.424000000000007</v>
      </c>
      <c r="D4" s="23">
        <v>1.1835E-2</v>
      </c>
      <c r="E4" s="23">
        <v>3.32</v>
      </c>
      <c r="F4" s="44">
        <f t="shared" si="0"/>
        <v>3.32E-2</v>
      </c>
      <c r="G4" s="24">
        <v>73</v>
      </c>
      <c r="H4" s="24">
        <v>0.56000000000000005</v>
      </c>
      <c r="I4" s="24">
        <v>0.75</v>
      </c>
      <c r="J4" s="24">
        <v>1.87</v>
      </c>
      <c r="K4" s="24">
        <v>1.1200000000000001</v>
      </c>
      <c r="L4" s="24">
        <v>0.6</v>
      </c>
      <c r="M4" s="46">
        <f t="shared" si="1"/>
        <v>6.2084000000000007E-2</v>
      </c>
      <c r="N4" s="59"/>
      <c r="O4" s="52"/>
      <c r="P4" s="52"/>
      <c r="Q4" s="53"/>
      <c r="R4" s="52"/>
      <c r="S4" s="52"/>
      <c r="T4" s="52"/>
      <c r="U4" s="51"/>
    </row>
    <row r="5" spans="1:21" s="25" customFormat="1" ht="15" thickBot="1">
      <c r="A5" s="23"/>
      <c r="B5" s="21" t="s">
        <v>6</v>
      </c>
      <c r="C5" s="22">
        <v>686.49300000000005</v>
      </c>
      <c r="D5" s="23">
        <v>9.9780999999999995E-2</v>
      </c>
      <c r="E5" s="23">
        <v>28.01</v>
      </c>
      <c r="F5" s="44">
        <f t="shared" si="0"/>
        <v>0.28010000000000002</v>
      </c>
      <c r="G5" s="24">
        <v>49.3</v>
      </c>
      <c r="H5" s="24">
        <v>0.63</v>
      </c>
      <c r="I5" s="24">
        <v>1.1100000000000001</v>
      </c>
      <c r="J5" s="24">
        <v>4.59</v>
      </c>
      <c r="K5" s="24">
        <v>3.48</v>
      </c>
      <c r="L5" s="24">
        <v>0.76</v>
      </c>
      <c r="M5" s="46">
        <f t="shared" si="1"/>
        <v>1.2856590000000001</v>
      </c>
      <c r="N5" s="59"/>
      <c r="O5" s="52"/>
      <c r="P5" s="52"/>
      <c r="Q5" s="53"/>
      <c r="R5" s="52"/>
      <c r="S5" s="52"/>
      <c r="T5" s="52"/>
      <c r="U5" s="51"/>
    </row>
    <row r="6" spans="1:21" s="25" customFormat="1" ht="15" thickBot="1">
      <c r="A6" s="23"/>
      <c r="B6" s="21" t="s">
        <v>7</v>
      </c>
      <c r="C6" s="22">
        <v>1233.981</v>
      </c>
      <c r="D6" s="23">
        <v>0.17935799999999999</v>
      </c>
      <c r="E6" s="23">
        <v>50.35</v>
      </c>
      <c r="F6" s="44">
        <f t="shared" si="0"/>
        <v>0.50350000000000006</v>
      </c>
      <c r="G6" s="24">
        <v>32.1</v>
      </c>
      <c r="H6" s="24">
        <v>1.5</v>
      </c>
      <c r="I6" s="24">
        <v>2.29</v>
      </c>
      <c r="J6" s="24">
        <v>3.68</v>
      </c>
      <c r="K6" s="24">
        <v>1.4</v>
      </c>
      <c r="L6" s="24">
        <v>0.38</v>
      </c>
      <c r="M6" s="46">
        <f t="shared" si="1"/>
        <v>1.8528800000000003</v>
      </c>
      <c r="N6" s="59"/>
      <c r="O6" s="52"/>
      <c r="P6" s="52"/>
      <c r="Q6" s="53"/>
      <c r="R6" s="52"/>
      <c r="S6" s="52"/>
      <c r="T6" s="52"/>
      <c r="U6" s="51"/>
    </row>
    <row r="7" spans="1:21" ht="15" thickBot="1">
      <c r="A7" s="12" t="s">
        <v>8</v>
      </c>
      <c r="B7" s="13" t="s">
        <v>9</v>
      </c>
      <c r="C7" s="11">
        <v>260.52999999999997</v>
      </c>
      <c r="D7" s="14">
        <v>3.7867999999999999E-2</v>
      </c>
      <c r="E7" s="14">
        <v>88.84</v>
      </c>
      <c r="F7" s="44">
        <f t="shared" si="0"/>
        <v>0.88840000000000008</v>
      </c>
      <c r="G7" s="18">
        <v>63</v>
      </c>
      <c r="H7" s="18">
        <v>0.77</v>
      </c>
      <c r="I7" s="18">
        <v>1.24</v>
      </c>
      <c r="J7" s="18">
        <v>2.4500000000000002</v>
      </c>
      <c r="K7" s="18">
        <v>1.21</v>
      </c>
      <c r="L7" s="18">
        <v>0.49</v>
      </c>
      <c r="M7" s="45">
        <f t="shared" si="1"/>
        <v>2.1765800000000004</v>
      </c>
      <c r="N7" s="60">
        <f>SUM(M7:M8)</f>
        <v>2.5258880000000006</v>
      </c>
      <c r="O7" s="52"/>
      <c r="P7" s="52"/>
      <c r="Q7" s="53"/>
      <c r="R7" s="52"/>
      <c r="S7" s="52"/>
      <c r="T7" s="52"/>
      <c r="U7" s="51"/>
    </row>
    <row r="8" spans="1:21" ht="15" thickBot="1">
      <c r="A8" s="14"/>
      <c r="B8" s="13" t="s">
        <v>10</v>
      </c>
      <c r="C8" s="11">
        <v>32.738</v>
      </c>
      <c r="D8" s="14">
        <v>4.7580000000000001E-3</v>
      </c>
      <c r="E8" s="14">
        <v>11.16</v>
      </c>
      <c r="F8" s="44">
        <f t="shared" si="0"/>
        <v>0.1116</v>
      </c>
      <c r="G8" s="18">
        <v>24</v>
      </c>
      <c r="H8" s="18">
        <v>0.9</v>
      </c>
      <c r="I8" s="18">
        <v>2.16</v>
      </c>
      <c r="J8" s="18">
        <v>3.13</v>
      </c>
      <c r="K8" s="18">
        <v>1.5649999999999999</v>
      </c>
      <c r="L8" s="18">
        <v>0.5</v>
      </c>
      <c r="M8" s="45">
        <f t="shared" si="1"/>
        <v>0.34930800000000001</v>
      </c>
      <c r="N8" s="60"/>
      <c r="O8" s="52"/>
      <c r="P8" s="52"/>
      <c r="Q8" s="53"/>
      <c r="R8" s="52"/>
      <c r="S8" s="52"/>
      <c r="T8" s="52"/>
      <c r="U8" s="51"/>
    </row>
    <row r="9" spans="1:21" s="31" customFormat="1" ht="15" thickBot="1">
      <c r="A9" s="26" t="s">
        <v>11</v>
      </c>
      <c r="B9" s="27" t="s">
        <v>12</v>
      </c>
      <c r="C9" s="28">
        <v>101.59399999999999</v>
      </c>
      <c r="D9" s="29">
        <v>1.4767000000000001E-2</v>
      </c>
      <c r="E9" s="29">
        <v>1.49</v>
      </c>
      <c r="F9" s="44">
        <f t="shared" si="0"/>
        <v>1.49E-2</v>
      </c>
      <c r="G9" s="30">
        <v>40.799999999999997</v>
      </c>
      <c r="H9" s="30">
        <v>0.49</v>
      </c>
      <c r="I9" s="30">
        <v>0.91</v>
      </c>
      <c r="J9" s="30">
        <v>1.1599999999999999</v>
      </c>
      <c r="K9" s="30">
        <v>0.24</v>
      </c>
      <c r="L9" s="30">
        <v>0.2</v>
      </c>
      <c r="M9" s="47">
        <f t="shared" si="1"/>
        <v>1.7283999999999997E-2</v>
      </c>
      <c r="N9" s="61">
        <f t="shared" ref="N9" si="2">SUM(M9:M10)</f>
        <v>3.22871</v>
      </c>
      <c r="O9" s="52"/>
      <c r="P9" s="52"/>
      <c r="Q9" s="53"/>
      <c r="R9" s="52"/>
      <c r="S9" s="52"/>
      <c r="T9" s="52"/>
      <c r="U9" s="51"/>
    </row>
    <row r="10" spans="1:21" s="31" customFormat="1" ht="15" thickBot="1">
      <c r="A10" s="29"/>
      <c r="B10" s="27" t="s">
        <v>13</v>
      </c>
      <c r="C10" s="28">
        <v>6721.5039999999999</v>
      </c>
      <c r="D10" s="29">
        <v>0.97696300000000003</v>
      </c>
      <c r="E10" s="29">
        <v>98.51</v>
      </c>
      <c r="F10" s="44">
        <f t="shared" si="0"/>
        <v>0.98510000000000009</v>
      </c>
      <c r="G10" s="30">
        <v>10.46</v>
      </c>
      <c r="H10" s="30">
        <v>0.95</v>
      </c>
      <c r="I10" s="30">
        <v>1.22</v>
      </c>
      <c r="J10" s="30">
        <v>3.26</v>
      </c>
      <c r="K10" s="30">
        <v>2.04</v>
      </c>
      <c r="L10" s="30">
        <v>0.63</v>
      </c>
      <c r="M10" s="47">
        <f t="shared" si="1"/>
        <v>3.2114259999999999</v>
      </c>
      <c r="N10" s="61"/>
      <c r="O10" s="52"/>
      <c r="P10" s="52"/>
      <c r="Q10" s="53"/>
      <c r="R10" s="52"/>
      <c r="S10" s="52"/>
      <c r="T10" s="52"/>
      <c r="U10" s="51"/>
    </row>
    <row r="11" spans="1:21" ht="15" thickBot="1">
      <c r="A11" s="12" t="s">
        <v>14</v>
      </c>
      <c r="B11" s="13" t="s">
        <v>15</v>
      </c>
      <c r="C11" s="11">
        <v>43000.152000000002</v>
      </c>
      <c r="D11" s="14">
        <v>6.2500220000000004</v>
      </c>
      <c r="E11" s="14">
        <v>49.76</v>
      </c>
      <c r="F11" s="44">
        <f t="shared" si="0"/>
        <v>0.49759999999999999</v>
      </c>
      <c r="G11" s="18">
        <v>5.03</v>
      </c>
      <c r="H11" s="18">
        <v>2.62</v>
      </c>
      <c r="I11" s="18">
        <v>1.35</v>
      </c>
      <c r="J11" s="18">
        <v>4.75</v>
      </c>
      <c r="K11" s="18">
        <v>3.4</v>
      </c>
      <c r="L11" s="18">
        <v>0.72</v>
      </c>
      <c r="M11" s="45">
        <f t="shared" si="1"/>
        <v>2.3635999999999999</v>
      </c>
      <c r="N11" s="60">
        <f t="shared" ref="N11" si="3">SUM(M11:M12)</f>
        <v>3.8456800000000002</v>
      </c>
      <c r="O11" s="52"/>
      <c r="P11" s="52"/>
      <c r="Q11" s="53"/>
      <c r="R11" s="52"/>
      <c r="S11" s="52"/>
      <c r="T11" s="52"/>
      <c r="U11" s="51"/>
    </row>
    <row r="12" spans="1:21" ht="15" thickBot="1">
      <c r="A12" s="14"/>
      <c r="B12" s="13" t="s">
        <v>16</v>
      </c>
      <c r="C12" s="11">
        <v>43407.589</v>
      </c>
      <c r="D12" s="14">
        <v>6.3092430000000004</v>
      </c>
      <c r="E12" s="14">
        <v>50.24</v>
      </c>
      <c r="F12" s="44">
        <f t="shared" si="0"/>
        <v>0.50240000000000007</v>
      </c>
      <c r="G12" s="18">
        <v>19.59</v>
      </c>
      <c r="H12" s="18">
        <v>0.56000000000000005</v>
      </c>
      <c r="I12" s="18">
        <v>1.37</v>
      </c>
      <c r="J12" s="18">
        <v>2.95</v>
      </c>
      <c r="K12" s="18">
        <v>1.58</v>
      </c>
      <c r="L12" s="18">
        <v>0.54</v>
      </c>
      <c r="M12" s="45">
        <f t="shared" si="1"/>
        <v>1.4820800000000003</v>
      </c>
      <c r="N12" s="60"/>
      <c r="O12" s="52"/>
      <c r="P12" s="52"/>
      <c r="Q12" s="53"/>
      <c r="R12" s="52"/>
      <c r="S12" s="52"/>
      <c r="T12" s="52"/>
      <c r="U12" s="51"/>
    </row>
    <row r="13" spans="1:21" s="37" customFormat="1" ht="15" thickBot="1">
      <c r="A13" s="32" t="s">
        <v>17</v>
      </c>
      <c r="B13" s="33" t="s">
        <v>18</v>
      </c>
      <c r="C13" s="34">
        <v>422.93299999999999</v>
      </c>
      <c r="D13" s="35">
        <v>6.1473E-2</v>
      </c>
      <c r="E13" s="35">
        <v>51.52</v>
      </c>
      <c r="F13" s="44">
        <f t="shared" si="0"/>
        <v>0.51519999999999999</v>
      </c>
      <c r="G13" s="36">
        <v>99.75</v>
      </c>
      <c r="H13" s="36">
        <v>1.3</v>
      </c>
      <c r="I13" s="36">
        <v>1.47</v>
      </c>
      <c r="J13" s="36">
        <v>3.37</v>
      </c>
      <c r="K13" s="36">
        <v>1.9</v>
      </c>
      <c r="L13" s="36">
        <v>0.56000000000000005</v>
      </c>
      <c r="M13" s="48">
        <f t="shared" si="1"/>
        <v>1.736224</v>
      </c>
      <c r="N13" s="62">
        <f>SUM(M13:M15)</f>
        <v>3.6551269999999998</v>
      </c>
      <c r="O13" s="52"/>
      <c r="P13" s="52"/>
      <c r="Q13" s="53"/>
      <c r="R13" s="52"/>
      <c r="S13" s="52"/>
      <c r="T13" s="52"/>
      <c r="U13" s="51"/>
    </row>
    <row r="14" spans="1:21" s="37" customFormat="1" ht="15" thickBot="1">
      <c r="A14" s="35"/>
      <c r="B14" s="33" t="s">
        <v>19</v>
      </c>
      <c r="C14" s="34">
        <v>65.084999999999994</v>
      </c>
      <c r="D14" s="35">
        <v>9.4599999999999997E-3</v>
      </c>
      <c r="E14" s="35">
        <v>7.93</v>
      </c>
      <c r="F14" s="44">
        <f t="shared" si="0"/>
        <v>7.9299999999999995E-2</v>
      </c>
      <c r="G14" s="36">
        <v>21</v>
      </c>
      <c r="H14" s="36">
        <v>1</v>
      </c>
      <c r="I14" s="36">
        <v>1.92</v>
      </c>
      <c r="J14" s="36">
        <v>2.21</v>
      </c>
      <c r="K14" s="36">
        <v>0.28999999999999998</v>
      </c>
      <c r="L14" s="36">
        <v>0.13</v>
      </c>
      <c r="M14" s="48">
        <f t="shared" si="1"/>
        <v>0.17525299999999999</v>
      </c>
      <c r="N14" s="62"/>
      <c r="O14" s="52"/>
      <c r="P14" s="52"/>
      <c r="Q14" s="53"/>
      <c r="R14" s="52"/>
      <c r="S14" s="52"/>
      <c r="T14" s="52"/>
      <c r="U14" s="51"/>
    </row>
    <row r="15" spans="1:21" s="37" customFormat="1" ht="15" thickBot="1">
      <c r="A15" s="35"/>
      <c r="B15" s="33" t="s">
        <v>20</v>
      </c>
      <c r="C15" s="34">
        <v>316.12200000000001</v>
      </c>
      <c r="D15" s="35">
        <v>4.5948000000000003E-2</v>
      </c>
      <c r="E15" s="35">
        <v>40.549999999999997</v>
      </c>
      <c r="F15" s="44">
        <f t="shared" si="0"/>
        <v>0.40549999999999997</v>
      </c>
      <c r="G15" s="36">
        <v>19.34</v>
      </c>
      <c r="H15" s="36">
        <v>0.94</v>
      </c>
      <c r="I15" s="36">
        <v>1.55</v>
      </c>
      <c r="J15" s="36">
        <v>4.3</v>
      </c>
      <c r="K15" s="36">
        <v>2.75</v>
      </c>
      <c r="L15" s="36">
        <v>0.64</v>
      </c>
      <c r="M15" s="48">
        <f t="shared" si="1"/>
        <v>1.7436499999999997</v>
      </c>
      <c r="N15" s="62"/>
      <c r="O15" s="52"/>
      <c r="P15" s="52"/>
      <c r="Q15" s="53"/>
      <c r="R15" s="52"/>
      <c r="S15" s="52"/>
      <c r="T15" s="52"/>
      <c r="U15" s="51"/>
    </row>
    <row r="16" spans="1:21" ht="15" thickBot="1">
      <c r="A16" s="12" t="s">
        <v>21</v>
      </c>
      <c r="B16" s="13" t="s">
        <v>22</v>
      </c>
      <c r="C16" s="11">
        <v>1098.963</v>
      </c>
      <c r="D16" s="14">
        <v>0.15973300000000001</v>
      </c>
      <c r="E16" s="14">
        <v>100</v>
      </c>
      <c r="F16" s="44">
        <f t="shared" si="0"/>
        <v>1</v>
      </c>
      <c r="G16" s="18">
        <v>55.59</v>
      </c>
      <c r="H16" s="18">
        <v>0.39</v>
      </c>
      <c r="I16" s="18">
        <v>0.8</v>
      </c>
      <c r="J16" s="18">
        <v>1.39</v>
      </c>
      <c r="K16" s="18">
        <v>0.59</v>
      </c>
      <c r="L16" s="18">
        <v>0.42</v>
      </c>
      <c r="M16" s="45">
        <f t="shared" si="1"/>
        <v>1.39</v>
      </c>
      <c r="N16" s="56">
        <f>M16</f>
        <v>1.39</v>
      </c>
      <c r="O16" s="52"/>
      <c r="P16" s="52"/>
      <c r="Q16" s="53"/>
      <c r="R16" s="52"/>
      <c r="S16" s="52"/>
      <c r="T16" s="52"/>
      <c r="U16" s="51"/>
    </row>
    <row r="17" spans="1:21" s="43" customFormat="1" ht="15" thickBot="1">
      <c r="A17" s="38" t="s">
        <v>23</v>
      </c>
      <c r="B17" s="39" t="s">
        <v>24</v>
      </c>
      <c r="C17" s="40">
        <v>633.35</v>
      </c>
      <c r="D17" s="41">
        <v>9.2057E-2</v>
      </c>
      <c r="E17" s="41">
        <v>100</v>
      </c>
      <c r="F17" s="44">
        <f t="shared" si="0"/>
        <v>1</v>
      </c>
      <c r="G17" s="42">
        <v>34.909999999999997</v>
      </c>
      <c r="H17" s="42">
        <v>0.38</v>
      </c>
      <c r="I17" s="42">
        <v>0.91</v>
      </c>
      <c r="J17" s="42">
        <v>1.19</v>
      </c>
      <c r="K17" s="42">
        <v>0.28000000000000003</v>
      </c>
      <c r="L17" s="42">
        <v>0.24</v>
      </c>
      <c r="M17" s="49">
        <f t="shared" si="1"/>
        <v>1.19</v>
      </c>
      <c r="N17" s="56">
        <f t="shared" ref="N17:N18" si="4">M17</f>
        <v>1.19</v>
      </c>
      <c r="O17" s="52"/>
      <c r="P17" s="52"/>
      <c r="Q17" s="53"/>
      <c r="R17" s="52"/>
      <c r="S17" s="52"/>
      <c r="T17" s="52"/>
      <c r="U17" s="51"/>
    </row>
    <row r="18" spans="1:21" ht="15" thickBot="1">
      <c r="A18" s="12" t="s">
        <v>25</v>
      </c>
      <c r="B18" s="13" t="s">
        <v>26</v>
      </c>
      <c r="C18" s="11">
        <v>0.68200000000000005</v>
      </c>
      <c r="D18" s="14">
        <v>9.8999999999999994E-5</v>
      </c>
      <c r="E18" s="14">
        <v>100</v>
      </c>
      <c r="F18" s="44">
        <f t="shared" si="0"/>
        <v>1</v>
      </c>
      <c r="G18" s="18">
        <v>17.100000000000001</v>
      </c>
      <c r="H18" s="18">
        <v>1.4</v>
      </c>
      <c r="I18" s="18">
        <v>2.52</v>
      </c>
      <c r="J18" s="18">
        <v>3.79</v>
      </c>
      <c r="K18" s="18">
        <v>1.89</v>
      </c>
      <c r="L18" s="18">
        <v>0.5</v>
      </c>
      <c r="M18" s="45">
        <f t="shared" si="1"/>
        <v>3.79</v>
      </c>
      <c r="N18" s="56">
        <f t="shared" si="4"/>
        <v>3.79</v>
      </c>
      <c r="O18" s="52"/>
      <c r="P18" s="52"/>
      <c r="Q18" s="53"/>
      <c r="R18" s="52"/>
      <c r="S18" s="52"/>
      <c r="T18" s="52"/>
      <c r="U18" s="51"/>
    </row>
    <row r="19" spans="1:21" ht="15" thickBot="1">
      <c r="O19" s="11"/>
      <c r="P19" s="11"/>
    </row>
    <row r="20" spans="1:21" ht="15" thickBot="1">
      <c r="O20" s="11"/>
      <c r="P20" s="11"/>
      <c r="Q20" s="54"/>
    </row>
    <row r="21" spans="1:21" ht="15" thickBot="1">
      <c r="O21" s="11"/>
      <c r="P21" s="11"/>
    </row>
    <row r="22" spans="1:21" ht="15" thickBot="1">
      <c r="O22" s="11"/>
      <c r="P22" s="11"/>
    </row>
    <row r="23" spans="1:21" ht="15" thickBot="1">
      <c r="O23" s="11"/>
      <c r="P23" s="11"/>
    </row>
    <row r="24" spans="1:21" ht="15" thickBot="1">
      <c r="O24" s="11"/>
      <c r="P24" s="11"/>
    </row>
    <row r="25" spans="1:21" ht="15" thickBot="1">
      <c r="O25" s="11"/>
      <c r="P25" s="11"/>
    </row>
    <row r="26" spans="1:21" ht="15" thickBot="1">
      <c r="O26" s="11"/>
      <c r="P26" s="11"/>
    </row>
    <row r="27" spans="1:21" ht="15" thickBot="1">
      <c r="O27" s="11"/>
      <c r="P27" s="11"/>
    </row>
    <row r="28" spans="1:21" ht="15" thickBot="1">
      <c r="O28" s="11"/>
      <c r="P28" s="11"/>
    </row>
    <row r="29" spans="1:21" ht="15" thickBot="1">
      <c r="O29" s="11"/>
      <c r="P29" s="11"/>
    </row>
    <row r="30" spans="1:21" ht="15" thickBot="1">
      <c r="O30" s="11"/>
      <c r="P30" s="11"/>
    </row>
    <row r="31" spans="1:21" ht="15" thickBot="1">
      <c r="O31" s="11"/>
      <c r="P31" s="11"/>
    </row>
    <row r="32" spans="1:21" ht="15" thickBot="1">
      <c r="O32" s="11"/>
      <c r="P32" s="11"/>
    </row>
    <row r="33" spans="15:16" ht="15" thickBot="1">
      <c r="O33" s="11"/>
      <c r="P33" s="11"/>
    </row>
    <row r="34" spans="15:16" ht="15" thickBot="1">
      <c r="O34" s="11"/>
      <c r="P34" s="11"/>
    </row>
    <row r="35" spans="15:16" ht="15" thickBot="1">
      <c r="O35" s="11"/>
      <c r="P35" s="11"/>
    </row>
  </sheetData>
  <mergeCells count="5">
    <mergeCell ref="N2:N6"/>
    <mergeCell ref="N7:N8"/>
    <mergeCell ref="N9:N10"/>
    <mergeCell ref="N11:N12"/>
    <mergeCell ref="N13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4F51-0C6F-46CB-99C3-B46B9A1D1CCC}">
  <dimension ref="A1:W18"/>
  <sheetViews>
    <sheetView workbookViewId="0">
      <selection activeCell="M18" sqref="M18"/>
    </sheetView>
  </sheetViews>
  <sheetFormatPr defaultRowHeight="14.4"/>
  <cols>
    <col min="1" max="1" width="17.88671875" bestFit="1" customWidth="1"/>
    <col min="2" max="2" width="17.33203125" bestFit="1" customWidth="1"/>
    <col min="3" max="3" width="11.21875" bestFit="1" customWidth="1"/>
    <col min="4" max="4" width="8.5546875" bestFit="1" customWidth="1"/>
    <col min="5" max="5" width="9" bestFit="1" customWidth="1"/>
    <col min="6" max="6" width="7.88671875" bestFit="1" customWidth="1"/>
    <col min="7" max="7" width="14.6640625" bestFit="1" customWidth="1"/>
    <col min="8" max="8" width="5.6640625" bestFit="1" customWidth="1"/>
    <col min="9" max="10" width="3.44140625" bestFit="1" customWidth="1"/>
    <col min="11" max="11" width="14.6640625" bestFit="1" customWidth="1"/>
    <col min="12" max="12" width="15.6640625" bestFit="1" customWidth="1"/>
    <col min="13" max="13" width="14.44140625" bestFit="1" customWidth="1"/>
    <col min="14" max="14" width="22.21875" bestFit="1" customWidth="1"/>
  </cols>
  <sheetData>
    <row r="1" spans="1:23" ht="15" thickBot="1">
      <c r="A1" s="12" t="s">
        <v>0</v>
      </c>
      <c r="B1" s="12" t="s">
        <v>112</v>
      </c>
      <c r="C1" s="12" t="s">
        <v>111</v>
      </c>
      <c r="D1" s="12" t="s">
        <v>82</v>
      </c>
      <c r="E1" s="12" t="s">
        <v>113</v>
      </c>
      <c r="F1" s="12" t="s">
        <v>114</v>
      </c>
      <c r="G1" s="12" t="s">
        <v>115</v>
      </c>
      <c r="H1" s="12" t="s">
        <v>121</v>
      </c>
      <c r="I1" s="12" t="s">
        <v>122</v>
      </c>
      <c r="J1" s="12" t="s">
        <v>123</v>
      </c>
      <c r="K1" s="12" t="s">
        <v>140</v>
      </c>
      <c r="L1" s="55" t="s">
        <v>141</v>
      </c>
      <c r="M1" s="12" t="s">
        <v>142</v>
      </c>
      <c r="N1" s="12" t="s">
        <v>88</v>
      </c>
    </row>
    <row r="2" spans="1:23" s="25" customFormat="1" ht="15" thickBot="1">
      <c r="A2" s="22" t="s">
        <v>89</v>
      </c>
      <c r="B2" s="23" t="s">
        <v>3</v>
      </c>
      <c r="C2" s="23">
        <v>6.8199999999999997E-2</v>
      </c>
      <c r="D2" s="44">
        <v>93.28</v>
      </c>
      <c r="E2" s="24">
        <v>1.54E-2</v>
      </c>
      <c r="F2" s="24">
        <v>2.9710000000000001</v>
      </c>
      <c r="G2" s="24">
        <f>E2*D2^F2</f>
        <v>10958.786485966652</v>
      </c>
      <c r="H2" s="24">
        <v>3.1</v>
      </c>
      <c r="I2" s="24">
        <v>1</v>
      </c>
      <c r="J2" s="24">
        <v>0</v>
      </c>
      <c r="K2" s="46">
        <f>10^(7.964-0.204*LOG(G2)-1.965*3.33167+0.083*H2+0.532*I2+0.398*J2)</f>
        <v>24.124421456363418</v>
      </c>
      <c r="L2" s="46">
        <f>K2*C2</f>
        <v>1.645285543323985</v>
      </c>
      <c r="M2" s="59">
        <f>SUM(L2:L6)</f>
        <v>33.687570056359434</v>
      </c>
      <c r="N2" s="57" t="s">
        <v>124</v>
      </c>
      <c r="O2" s="46"/>
      <c r="P2" s="46"/>
      <c r="Q2" s="52"/>
      <c r="R2" s="52"/>
      <c r="S2" s="53"/>
      <c r="T2" s="52"/>
      <c r="U2" s="52"/>
      <c r="V2" s="52"/>
      <c r="W2" s="51"/>
    </row>
    <row r="3" spans="1:23" ht="15" thickBot="1">
      <c r="A3" s="22" t="s">
        <v>89</v>
      </c>
      <c r="B3" s="23" t="s">
        <v>4</v>
      </c>
      <c r="C3" s="23">
        <v>0.115</v>
      </c>
      <c r="D3" s="44">
        <v>93.68</v>
      </c>
      <c r="E3" s="24">
        <v>4.7000000000000002E-3</v>
      </c>
      <c r="F3" s="24">
        <v>3.2930000000000001</v>
      </c>
      <c r="G3" s="24">
        <f t="shared" ref="G3:G18" si="0">E3*D3^F3</f>
        <v>14612.719255978847</v>
      </c>
      <c r="H3" s="24">
        <v>3.2</v>
      </c>
      <c r="I3" s="24">
        <v>0</v>
      </c>
      <c r="J3" s="24">
        <v>0</v>
      </c>
      <c r="K3" s="46">
        <f t="shared" ref="K3:K18" si="1">10^(7.964-0.204*LOG(G3)-1.965*3.33167+0.083*H3+0.532*I3+0.398*J3)</f>
        <v>6.8118224211539733</v>
      </c>
      <c r="L3" s="46">
        <f t="shared" ref="L3:L18" si="2">K3*C3</f>
        <v>0.78335957843270698</v>
      </c>
      <c r="M3" s="59"/>
      <c r="N3" s="57" t="s">
        <v>132</v>
      </c>
    </row>
    <row r="4" spans="1:23" ht="15" thickBot="1">
      <c r="A4" s="22" t="s">
        <v>89</v>
      </c>
      <c r="B4" s="23" t="s">
        <v>5</v>
      </c>
      <c r="C4" s="23">
        <v>3.32E-2</v>
      </c>
      <c r="D4" s="44">
        <v>73</v>
      </c>
      <c r="E4" s="24">
        <v>1.14E-2</v>
      </c>
      <c r="F4" s="24">
        <v>3.0009999999999999</v>
      </c>
      <c r="G4" s="24">
        <f t="shared" si="0"/>
        <v>4453.861979303063</v>
      </c>
      <c r="H4" s="24">
        <v>3</v>
      </c>
      <c r="I4" s="24">
        <v>0</v>
      </c>
      <c r="J4" s="24">
        <v>1</v>
      </c>
      <c r="K4" s="46">
        <f t="shared" si="1"/>
        <v>20.889408947564522</v>
      </c>
      <c r="L4" s="46">
        <f t="shared" si="2"/>
        <v>0.69352837705914216</v>
      </c>
      <c r="M4" s="59"/>
      <c r="N4" s="57" t="s">
        <v>125</v>
      </c>
    </row>
    <row r="5" spans="1:23" ht="15" thickBot="1">
      <c r="A5" s="22" t="s">
        <v>89</v>
      </c>
      <c r="B5" s="23" t="s">
        <v>6</v>
      </c>
      <c r="C5" s="23">
        <v>0.28010000000000002</v>
      </c>
      <c r="D5" s="44">
        <v>49.3</v>
      </c>
      <c r="E5" s="24">
        <v>3.5999999999999999E-3</v>
      </c>
      <c r="F5" s="24">
        <v>3.47</v>
      </c>
      <c r="G5" s="24">
        <f t="shared" si="0"/>
        <v>2694.5193744547237</v>
      </c>
      <c r="H5" s="24">
        <v>3</v>
      </c>
      <c r="I5" s="24">
        <v>1</v>
      </c>
      <c r="J5" s="24">
        <v>0</v>
      </c>
      <c r="K5" s="46">
        <f t="shared" si="1"/>
        <v>31.510134911781968</v>
      </c>
      <c r="L5" s="46">
        <f t="shared" si="2"/>
        <v>8.8259887887901289</v>
      </c>
      <c r="M5" s="59"/>
      <c r="N5" s="57" t="s">
        <v>133</v>
      </c>
    </row>
    <row r="6" spans="1:23" ht="15" thickBot="1">
      <c r="A6" s="22" t="s">
        <v>89</v>
      </c>
      <c r="B6" s="23" t="s">
        <v>7</v>
      </c>
      <c r="C6" s="23">
        <v>0.50350000000000006</v>
      </c>
      <c r="D6" s="44">
        <v>32.1</v>
      </c>
      <c r="E6" s="24">
        <v>1.2E-2</v>
      </c>
      <c r="F6" s="24">
        <v>3.08</v>
      </c>
      <c r="G6" s="24">
        <f t="shared" si="0"/>
        <v>523.86181809798825</v>
      </c>
      <c r="H6" s="24">
        <v>2.9</v>
      </c>
      <c r="I6" s="24">
        <v>1</v>
      </c>
      <c r="J6" s="24">
        <v>0</v>
      </c>
      <c r="K6" s="46">
        <f t="shared" si="1"/>
        <v>43.176579481138951</v>
      </c>
      <c r="L6" s="46">
        <f t="shared" si="2"/>
        <v>21.739407768753466</v>
      </c>
      <c r="M6" s="59"/>
      <c r="N6" s="57" t="s">
        <v>134</v>
      </c>
    </row>
    <row r="7" spans="1:23" ht="15" thickBot="1">
      <c r="A7" s="11" t="s">
        <v>95</v>
      </c>
      <c r="B7" s="14" t="s">
        <v>9</v>
      </c>
      <c r="C7" s="14">
        <v>0.88840000000000008</v>
      </c>
      <c r="D7" s="44">
        <v>63</v>
      </c>
      <c r="E7" s="18">
        <v>1.0699999999999999E-2</v>
      </c>
      <c r="F7" s="18">
        <v>2.9329999999999998</v>
      </c>
      <c r="G7" s="18">
        <f t="shared" si="0"/>
        <v>2026.9806798228335</v>
      </c>
      <c r="H7" s="18">
        <v>1.3</v>
      </c>
      <c r="I7" s="18">
        <v>0</v>
      </c>
      <c r="J7" s="18">
        <v>0</v>
      </c>
      <c r="K7" s="45">
        <f t="shared" si="1"/>
        <v>7.0887739846160098</v>
      </c>
      <c r="L7" s="45">
        <f t="shared" si="2"/>
        <v>6.2976668079328633</v>
      </c>
      <c r="M7" s="60">
        <f>SUM(L7:L8)</f>
        <v>7.3968907666719312</v>
      </c>
      <c r="N7" s="57" t="s">
        <v>135</v>
      </c>
    </row>
    <row r="8" spans="1:23" ht="15" thickBot="1">
      <c r="A8" s="11" t="s">
        <v>95</v>
      </c>
      <c r="B8" s="14" t="s">
        <v>10</v>
      </c>
      <c r="C8" s="14">
        <v>0.1116</v>
      </c>
      <c r="D8" s="44">
        <v>24</v>
      </c>
      <c r="E8" s="18">
        <v>4.5699999999999998E-2</v>
      </c>
      <c r="F8" s="18">
        <v>2.83</v>
      </c>
      <c r="G8" s="18">
        <f t="shared" si="0"/>
        <v>368.05609506814437</v>
      </c>
      <c r="H8" s="18">
        <v>1.2</v>
      </c>
      <c r="I8" s="18">
        <v>0</v>
      </c>
      <c r="J8" s="18">
        <v>0</v>
      </c>
      <c r="K8" s="45">
        <f t="shared" si="1"/>
        <v>9.8496770496332271</v>
      </c>
      <c r="L8" s="45">
        <f t="shared" si="2"/>
        <v>1.0992239587390682</v>
      </c>
      <c r="M8" s="60"/>
      <c r="N8" s="57" t="s">
        <v>130</v>
      </c>
    </row>
    <row r="9" spans="1:23" ht="15" thickBot="1">
      <c r="A9" s="28" t="s">
        <v>98</v>
      </c>
      <c r="B9" s="29" t="s">
        <v>12</v>
      </c>
      <c r="C9" s="29">
        <v>1.49E-2</v>
      </c>
      <c r="D9" s="44">
        <v>40.799999999999997</v>
      </c>
      <c r="E9" s="30">
        <v>1.4E-2</v>
      </c>
      <c r="F9" s="30">
        <v>2.96</v>
      </c>
      <c r="G9" s="30">
        <f t="shared" si="0"/>
        <v>819.75130822556594</v>
      </c>
      <c r="H9" s="30">
        <v>2.8</v>
      </c>
      <c r="I9" s="30">
        <v>0</v>
      </c>
      <c r="J9" s="30">
        <v>0</v>
      </c>
      <c r="K9" s="47">
        <f t="shared" si="1"/>
        <v>11.357357536199302</v>
      </c>
      <c r="L9" s="47">
        <f t="shared" si="2"/>
        <v>0.1692246272893696</v>
      </c>
      <c r="M9" s="61">
        <f t="shared" ref="M9" si="3">SUM(L9:L10)</f>
        <v>24.949115017890612</v>
      </c>
      <c r="N9" s="57" t="s">
        <v>137</v>
      </c>
    </row>
    <row r="10" spans="1:23" ht="15" thickBot="1">
      <c r="A10" s="28" t="s">
        <v>98</v>
      </c>
      <c r="B10" s="29" t="s">
        <v>116</v>
      </c>
      <c r="C10" s="29">
        <v>0.98510000000000009</v>
      </c>
      <c r="D10" s="44">
        <v>10.46</v>
      </c>
      <c r="E10" s="30">
        <v>6.7000000000000002E-3</v>
      </c>
      <c r="F10" s="30">
        <v>3.21</v>
      </c>
      <c r="G10" s="30">
        <f t="shared" si="0"/>
        <v>12.553693180769249</v>
      </c>
      <c r="H10" s="30">
        <v>2.5</v>
      </c>
      <c r="I10" s="30">
        <v>0</v>
      </c>
      <c r="J10" s="30">
        <v>0</v>
      </c>
      <c r="K10" s="47">
        <f t="shared" si="1"/>
        <v>25.154695351336148</v>
      </c>
      <c r="L10" s="47">
        <f t="shared" si="2"/>
        <v>24.779890390601242</v>
      </c>
      <c r="M10" s="61"/>
      <c r="N10" s="57" t="s">
        <v>126</v>
      </c>
    </row>
    <row r="11" spans="1:23" ht="15" thickBot="1">
      <c r="A11" s="11" t="s">
        <v>101</v>
      </c>
      <c r="B11" s="14" t="s">
        <v>15</v>
      </c>
      <c r="C11" s="14">
        <v>0.49759999999999999</v>
      </c>
      <c r="D11" s="44">
        <v>5.03</v>
      </c>
      <c r="E11" s="18">
        <v>8.3999999999999995E-3</v>
      </c>
      <c r="F11" s="18">
        <v>2.968</v>
      </c>
      <c r="G11" s="18">
        <f t="shared" si="0"/>
        <v>1.015156654212696</v>
      </c>
      <c r="H11" s="18">
        <v>3.5</v>
      </c>
      <c r="I11" s="18">
        <v>0</v>
      </c>
      <c r="J11" s="18">
        <v>0</v>
      </c>
      <c r="K11" s="45">
        <f t="shared" si="1"/>
        <v>50.866950776734058</v>
      </c>
      <c r="L11" s="45">
        <f t="shared" si="2"/>
        <v>25.311394706502867</v>
      </c>
      <c r="M11" s="60">
        <f t="shared" ref="M11" si="4">SUM(L11:L12)</f>
        <v>36.376322387464242</v>
      </c>
      <c r="N11" s="57" t="s">
        <v>127</v>
      </c>
    </row>
    <row r="12" spans="1:23" ht="15" thickBot="1">
      <c r="A12" s="11" t="s">
        <v>101</v>
      </c>
      <c r="B12" s="14" t="s">
        <v>16</v>
      </c>
      <c r="C12" s="14">
        <v>0.50240000000000007</v>
      </c>
      <c r="D12" s="44">
        <v>19.59</v>
      </c>
      <c r="E12" s="18">
        <v>7.9000000000000008E-3</v>
      </c>
      <c r="F12" s="18">
        <v>2.98</v>
      </c>
      <c r="G12" s="18">
        <f t="shared" si="0"/>
        <v>55.961546863433639</v>
      </c>
      <c r="H12" s="18">
        <v>3.4</v>
      </c>
      <c r="I12" s="18">
        <v>0</v>
      </c>
      <c r="J12" s="18">
        <v>0</v>
      </c>
      <c r="K12" s="45">
        <f t="shared" si="1"/>
        <v>22.024139492359417</v>
      </c>
      <c r="L12" s="45">
        <f t="shared" si="2"/>
        <v>11.064927680961373</v>
      </c>
      <c r="M12" s="60"/>
      <c r="N12" s="57" t="s">
        <v>136</v>
      </c>
    </row>
    <row r="13" spans="1:23" ht="15" thickBot="1">
      <c r="A13" s="34" t="s">
        <v>104</v>
      </c>
      <c r="B13" s="35" t="s">
        <v>18</v>
      </c>
      <c r="C13" s="35">
        <v>0.51519999999999999</v>
      </c>
      <c r="D13" s="44">
        <v>99.75</v>
      </c>
      <c r="E13" s="36">
        <v>7.4000000000000003E-3</v>
      </c>
      <c r="F13" s="36">
        <v>3.05</v>
      </c>
      <c r="G13" s="36">
        <f t="shared" si="0"/>
        <v>9245.1950484928911</v>
      </c>
      <c r="H13" s="36">
        <v>1.2</v>
      </c>
      <c r="I13" s="36">
        <v>0</v>
      </c>
      <c r="J13" s="36">
        <v>0</v>
      </c>
      <c r="K13" s="48">
        <f t="shared" si="1"/>
        <v>5.1029530204192</v>
      </c>
      <c r="L13" s="48">
        <f t="shared" si="2"/>
        <v>2.6290413961199719</v>
      </c>
      <c r="M13" s="62">
        <f>SUM(L13:L15)</f>
        <v>9.469223052076968</v>
      </c>
      <c r="N13" s="57" t="s">
        <v>127</v>
      </c>
    </row>
    <row r="14" spans="1:23" ht="15" thickBot="1">
      <c r="A14" s="34" t="s">
        <v>104</v>
      </c>
      <c r="B14" s="35" t="s">
        <v>19</v>
      </c>
      <c r="C14" s="35">
        <v>7.9299999999999995E-2</v>
      </c>
      <c r="D14" s="44">
        <v>21</v>
      </c>
      <c r="E14" s="36">
        <v>4.7999999999999996E-3</v>
      </c>
      <c r="F14" s="36">
        <v>3.1</v>
      </c>
      <c r="G14" s="36">
        <f t="shared" si="0"/>
        <v>60.272756112440248</v>
      </c>
      <c r="H14" s="36">
        <v>1.3</v>
      </c>
      <c r="I14" s="36">
        <v>0</v>
      </c>
      <c r="J14" s="36">
        <v>0</v>
      </c>
      <c r="K14" s="48">
        <f t="shared" si="1"/>
        <v>14.521910491872809</v>
      </c>
      <c r="L14" s="48">
        <f t="shared" si="2"/>
        <v>1.1515875020055137</v>
      </c>
      <c r="M14" s="62"/>
      <c r="N14" s="57" t="s">
        <v>128</v>
      </c>
    </row>
    <row r="15" spans="1:23" ht="15" thickBot="1">
      <c r="A15" s="34" t="s">
        <v>104</v>
      </c>
      <c r="B15" s="35" t="s">
        <v>117</v>
      </c>
      <c r="C15" s="35">
        <v>0.40549999999999997</v>
      </c>
      <c r="D15" s="44">
        <v>19.34</v>
      </c>
      <c r="E15" s="36">
        <v>4.7899999999999998E-2</v>
      </c>
      <c r="F15" s="36">
        <v>2.5299999999999998</v>
      </c>
      <c r="G15" s="36">
        <f t="shared" si="0"/>
        <v>86.113329635850519</v>
      </c>
      <c r="H15" s="36">
        <v>1.5</v>
      </c>
      <c r="I15" s="36">
        <v>0</v>
      </c>
      <c r="J15" s="36">
        <v>0</v>
      </c>
      <c r="K15" s="48">
        <f t="shared" si="1"/>
        <v>14.028592241557293</v>
      </c>
      <c r="L15" s="48">
        <f t="shared" si="2"/>
        <v>5.6885941539514819</v>
      </c>
      <c r="M15" s="62"/>
      <c r="N15" s="57" t="s">
        <v>138</v>
      </c>
    </row>
    <row r="16" spans="1:23" ht="15" thickBot="1">
      <c r="A16" s="11" t="s">
        <v>107</v>
      </c>
      <c r="B16" s="14" t="s">
        <v>118</v>
      </c>
      <c r="C16" s="14">
        <v>1</v>
      </c>
      <c r="D16" s="44">
        <v>55.59</v>
      </c>
      <c r="E16" s="18">
        <v>3.6600000000000001E-2</v>
      </c>
      <c r="F16" s="18">
        <v>2.8439999999999999</v>
      </c>
      <c r="G16" s="18">
        <f t="shared" si="0"/>
        <v>3359.3219399394548</v>
      </c>
      <c r="H16" s="18">
        <v>2.6</v>
      </c>
      <c r="I16" s="18">
        <v>1</v>
      </c>
      <c r="J16" s="18">
        <v>0</v>
      </c>
      <c r="K16" s="45">
        <f t="shared" si="1"/>
        <v>27.90699780510489</v>
      </c>
      <c r="L16" s="45">
        <f t="shared" si="2"/>
        <v>27.90699780510489</v>
      </c>
      <c r="M16" s="56">
        <f>L16</f>
        <v>27.90699780510489</v>
      </c>
      <c r="N16" s="57" t="s">
        <v>132</v>
      </c>
    </row>
    <row r="17" spans="1:14" ht="15" thickBot="1">
      <c r="A17" s="40" t="s">
        <v>108</v>
      </c>
      <c r="B17" s="41" t="s">
        <v>119</v>
      </c>
      <c r="C17" s="41">
        <v>1</v>
      </c>
      <c r="D17" s="44">
        <v>34.909999999999997</v>
      </c>
      <c r="E17" s="42">
        <v>1.7600000000000001E-2</v>
      </c>
      <c r="F17" s="42">
        <v>2.99</v>
      </c>
      <c r="G17" s="42">
        <f t="shared" si="0"/>
        <v>722.6578352354735</v>
      </c>
      <c r="H17" s="42">
        <v>1.1000000000000001</v>
      </c>
      <c r="I17" s="42">
        <v>0</v>
      </c>
      <c r="J17" s="42">
        <v>0</v>
      </c>
      <c r="K17" s="49">
        <f t="shared" si="1"/>
        <v>8.4206608479402245</v>
      </c>
      <c r="L17" s="49">
        <f t="shared" si="2"/>
        <v>8.4206608479402245</v>
      </c>
      <c r="M17" s="56">
        <f t="shared" ref="M17:M18" si="5">L17</f>
        <v>8.4206608479402245</v>
      </c>
      <c r="N17" s="57" t="s">
        <v>129</v>
      </c>
    </row>
    <row r="18" spans="1:14" ht="15" thickBot="1">
      <c r="A18" s="11" t="s">
        <v>110</v>
      </c>
      <c r="B18" s="14" t="s">
        <v>120</v>
      </c>
      <c r="C18" s="14">
        <v>1</v>
      </c>
      <c r="D18" s="44">
        <v>17.100000000000001</v>
      </c>
      <c r="E18" s="18">
        <v>1.9E-2</v>
      </c>
      <c r="F18" s="18">
        <v>2.88</v>
      </c>
      <c r="G18" s="18">
        <f t="shared" si="0"/>
        <v>67.574431218658773</v>
      </c>
      <c r="H18" s="18">
        <v>1.3</v>
      </c>
      <c r="I18" s="18">
        <v>0</v>
      </c>
      <c r="J18" s="18">
        <v>0</v>
      </c>
      <c r="K18" s="45">
        <f t="shared" si="1"/>
        <v>14.187074215608828</v>
      </c>
      <c r="L18" s="45">
        <f t="shared" si="2"/>
        <v>14.187074215608828</v>
      </c>
      <c r="M18" s="56">
        <f t="shared" si="5"/>
        <v>14.187074215608828</v>
      </c>
      <c r="N18" s="57" t="s">
        <v>139</v>
      </c>
    </row>
  </sheetData>
  <mergeCells count="5">
    <mergeCell ref="M2:M6"/>
    <mergeCell ref="M7:M8"/>
    <mergeCell ref="M9:M10"/>
    <mergeCell ref="M11:M12"/>
    <mergeCell ref="M13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3BCF-F218-4CCC-BFE1-C48E0CCEEFC4}">
  <dimension ref="A1:N17"/>
  <sheetViews>
    <sheetView workbookViewId="0">
      <selection activeCell="F22" sqref="F22"/>
    </sheetView>
  </sheetViews>
  <sheetFormatPr defaultRowHeight="14.4"/>
  <cols>
    <col min="1" max="1" width="18.5546875" bestFit="1" customWidth="1"/>
    <col min="2" max="2" width="7.77734375" bestFit="1" customWidth="1"/>
    <col min="3" max="3" width="14.109375" bestFit="1" customWidth="1"/>
    <col min="4" max="4" width="11.88671875" bestFit="1" customWidth="1"/>
    <col min="5" max="5" width="10.6640625" bestFit="1" customWidth="1"/>
    <col min="6" max="6" width="10" bestFit="1" customWidth="1"/>
    <col min="7" max="7" width="9.5546875" bestFit="1" customWidth="1"/>
    <col min="8" max="8" width="11.88671875" bestFit="1" customWidth="1"/>
    <col min="9" max="9" width="10.44140625" bestFit="1" customWidth="1"/>
    <col min="10" max="10" width="9.33203125" bestFit="1" customWidth="1"/>
    <col min="11" max="11" width="10.21875" bestFit="1" customWidth="1"/>
    <col min="12" max="12" width="9.6640625" bestFit="1" customWidth="1"/>
    <col min="13" max="13" width="10.5546875" bestFit="1" customWidth="1"/>
    <col min="14" max="14" width="12" bestFit="1" customWidth="1"/>
  </cols>
  <sheetData>
    <row r="1" spans="1:14" ht="15" thickBot="1">
      <c r="A1" s="12" t="s">
        <v>143</v>
      </c>
      <c r="B1" s="12" t="s">
        <v>89</v>
      </c>
      <c r="C1" s="12" t="s">
        <v>95</v>
      </c>
      <c r="D1" s="12" t="s">
        <v>98</v>
      </c>
      <c r="E1" s="12" t="s">
        <v>101</v>
      </c>
      <c r="F1" s="12" t="s">
        <v>104</v>
      </c>
      <c r="G1" s="12" t="s">
        <v>107</v>
      </c>
      <c r="H1" s="12" t="s">
        <v>108</v>
      </c>
      <c r="I1" s="12" t="s">
        <v>110</v>
      </c>
      <c r="J1" s="12" t="s">
        <v>144</v>
      </c>
      <c r="K1" s="12" t="s">
        <v>145</v>
      </c>
      <c r="L1" s="12" t="s">
        <v>146</v>
      </c>
      <c r="M1" s="12" t="s">
        <v>147</v>
      </c>
      <c r="N1" s="12" t="s">
        <v>148</v>
      </c>
    </row>
    <row r="2" spans="1:14" ht="15" thickBot="1">
      <c r="A2" s="12" t="s">
        <v>89</v>
      </c>
      <c r="B2" s="18"/>
      <c r="C2" s="18">
        <v>1.2E-2</v>
      </c>
      <c r="D2" s="18"/>
      <c r="E2" s="18"/>
      <c r="F2" s="18">
        <v>0.05</v>
      </c>
      <c r="G2" s="18"/>
      <c r="H2" s="18"/>
      <c r="I2" s="18"/>
      <c r="J2" s="18"/>
      <c r="K2" s="18"/>
      <c r="L2" s="18"/>
      <c r="M2" s="18"/>
      <c r="N2" s="18"/>
    </row>
    <row r="3" spans="1:14" ht="15" thickBot="1">
      <c r="A3" s="12" t="s">
        <v>95</v>
      </c>
      <c r="B3" s="18"/>
      <c r="C3" s="18"/>
      <c r="D3" s="18"/>
      <c r="E3" s="18"/>
      <c r="F3" s="18">
        <v>2.5000000000000001E-2</v>
      </c>
      <c r="G3" s="18"/>
      <c r="H3" s="18"/>
      <c r="I3" s="18"/>
      <c r="J3" s="18"/>
      <c r="K3" s="18"/>
      <c r="L3" s="18"/>
      <c r="M3" s="18"/>
      <c r="N3" s="18"/>
    </row>
    <row r="4" spans="1:14" ht="15" thickBot="1">
      <c r="A4" s="12" t="s">
        <v>98</v>
      </c>
      <c r="B4" s="18"/>
      <c r="C4" s="18">
        <v>0.17699999999999999</v>
      </c>
      <c r="D4" s="18"/>
      <c r="E4" s="18"/>
      <c r="F4" s="18">
        <v>0.1</v>
      </c>
      <c r="G4" s="18"/>
      <c r="H4" s="18">
        <v>0.1</v>
      </c>
      <c r="I4" s="18">
        <v>0.15</v>
      </c>
      <c r="J4" s="18"/>
      <c r="K4" s="18"/>
      <c r="L4" s="18"/>
      <c r="M4" s="18"/>
      <c r="N4" s="18"/>
    </row>
    <row r="5" spans="1:14" ht="15" thickBot="1">
      <c r="A5" s="12" t="s">
        <v>101</v>
      </c>
      <c r="B5" s="18"/>
      <c r="C5" s="18">
        <v>0.24099999999999999</v>
      </c>
      <c r="D5" s="18"/>
      <c r="E5" s="18"/>
      <c r="F5" s="18">
        <v>0.47499999999999998</v>
      </c>
      <c r="G5" s="18"/>
      <c r="H5" s="18">
        <v>0.2</v>
      </c>
      <c r="I5" s="18">
        <v>0.2</v>
      </c>
      <c r="J5" s="18"/>
      <c r="K5" s="18"/>
      <c r="L5" s="18"/>
      <c r="M5" s="18"/>
      <c r="N5" s="18"/>
    </row>
    <row r="6" spans="1:14" ht="15" thickBot="1">
      <c r="A6" s="12" t="s">
        <v>104</v>
      </c>
      <c r="B6" s="18"/>
      <c r="C6" s="18">
        <v>1.0999999999999999E-2</v>
      </c>
      <c r="D6" s="18"/>
      <c r="E6" s="18"/>
      <c r="F6" s="18">
        <v>4.4999999999999998E-2</v>
      </c>
      <c r="G6" s="18"/>
      <c r="H6" s="18"/>
      <c r="I6" s="18"/>
      <c r="J6" s="18"/>
      <c r="K6" s="18"/>
      <c r="L6" s="18"/>
      <c r="M6" s="18"/>
      <c r="N6" s="18"/>
    </row>
    <row r="7" spans="1:14" ht="15" thickBot="1">
      <c r="A7" s="12" t="s">
        <v>107</v>
      </c>
      <c r="B7" s="18"/>
      <c r="C7" s="18"/>
      <c r="D7" s="18"/>
      <c r="E7" s="18"/>
      <c r="F7" s="18">
        <v>2.5000000000000001E-2</v>
      </c>
      <c r="G7" s="18"/>
      <c r="H7" s="18"/>
      <c r="I7" s="18"/>
      <c r="J7" s="18"/>
      <c r="K7" s="18"/>
      <c r="L7" s="18"/>
      <c r="M7" s="18"/>
      <c r="N7" s="18"/>
    </row>
    <row r="8" spans="1:14" ht="15" thickBot="1">
      <c r="A8" s="12" t="s">
        <v>108</v>
      </c>
      <c r="B8" s="18"/>
      <c r="C8" s="18"/>
      <c r="D8" s="18"/>
      <c r="E8" s="18"/>
      <c r="F8" s="18">
        <v>3.0000000000000001E-3</v>
      </c>
      <c r="G8" s="18"/>
      <c r="H8" s="18"/>
      <c r="I8" s="18"/>
      <c r="J8" s="18"/>
      <c r="K8" s="18"/>
      <c r="L8" s="18"/>
      <c r="M8" s="18"/>
      <c r="N8" s="18"/>
    </row>
    <row r="9" spans="1:14" ht="15" thickBot="1">
      <c r="A9" s="12" t="s">
        <v>110</v>
      </c>
      <c r="B9" s="18"/>
      <c r="C9" s="18"/>
      <c r="D9" s="18"/>
      <c r="E9" s="18"/>
      <c r="F9" s="18">
        <v>1E-3</v>
      </c>
      <c r="G9" s="18"/>
      <c r="H9" s="18"/>
      <c r="I9" s="18"/>
      <c r="J9" s="18"/>
      <c r="K9" s="18"/>
      <c r="L9" s="18"/>
      <c r="M9" s="18"/>
      <c r="N9" s="18"/>
    </row>
    <row r="10" spans="1:14" ht="15" thickBot="1">
      <c r="A10" s="12" t="s">
        <v>144</v>
      </c>
      <c r="B10" s="18"/>
      <c r="C10" s="18"/>
      <c r="D10" s="18"/>
      <c r="E10" s="18"/>
      <c r="F10" s="18">
        <v>4.0000000000000001E-3</v>
      </c>
      <c r="G10" s="18"/>
      <c r="H10" s="18">
        <v>0.35</v>
      </c>
      <c r="I10" s="18">
        <v>8.0000000000000002E-3</v>
      </c>
      <c r="J10" s="18">
        <v>4.2999999999999997E-2</v>
      </c>
      <c r="K10" s="18"/>
      <c r="L10" s="18"/>
      <c r="M10" s="18"/>
      <c r="N10" s="18"/>
    </row>
    <row r="11" spans="1:14" ht="15" thickBot="1">
      <c r="A11" s="12" t="s">
        <v>149</v>
      </c>
      <c r="B11" s="18"/>
      <c r="C11" s="18">
        <v>0.114</v>
      </c>
      <c r="D11" s="18">
        <v>7.0000000000000007E-2</v>
      </c>
      <c r="E11" s="18"/>
      <c r="F11" s="18"/>
      <c r="G11" s="18">
        <v>2.3E-2</v>
      </c>
      <c r="H11" s="18">
        <v>0.18</v>
      </c>
      <c r="I11" s="18">
        <v>0.14499999999999999</v>
      </c>
      <c r="J11" s="18">
        <v>0.17399999999999999</v>
      </c>
      <c r="K11" s="18"/>
      <c r="L11" s="18"/>
      <c r="M11" s="18"/>
      <c r="N11" s="18"/>
    </row>
    <row r="12" spans="1:14" ht="15" thickBot="1">
      <c r="A12" s="12" t="s">
        <v>150</v>
      </c>
      <c r="B12" s="18">
        <v>5.5E-2</v>
      </c>
      <c r="C12" s="18">
        <v>0.182</v>
      </c>
      <c r="D12" s="18">
        <v>0.19600000000000001</v>
      </c>
      <c r="E12" s="18">
        <v>0.6</v>
      </c>
      <c r="F12" s="18">
        <v>7.0000000000000007E-2</v>
      </c>
      <c r="G12" s="18">
        <v>6.5000000000000002E-2</v>
      </c>
      <c r="H12" s="18">
        <v>0.09</v>
      </c>
      <c r="I12" s="18">
        <v>0.248</v>
      </c>
      <c r="J12" s="18">
        <v>0.37</v>
      </c>
      <c r="K12" s="18">
        <v>0.125</v>
      </c>
      <c r="L12" s="18">
        <v>0.05</v>
      </c>
      <c r="M12" s="18"/>
      <c r="N12" s="18"/>
    </row>
    <row r="13" spans="1:14" ht="15" thickBot="1">
      <c r="A13" s="12" t="s">
        <v>151</v>
      </c>
      <c r="B13" s="18">
        <v>0.55000000000000004</v>
      </c>
      <c r="C13" s="18">
        <v>1.6E-2</v>
      </c>
      <c r="D13" s="18">
        <v>0.625</v>
      </c>
      <c r="E13" s="18">
        <v>0.375</v>
      </c>
      <c r="F13" s="18">
        <v>0.13700000000000001</v>
      </c>
      <c r="G13" s="18">
        <v>0.70599999999999996</v>
      </c>
      <c r="H13" s="18">
        <v>0.05</v>
      </c>
      <c r="I13" s="18">
        <v>0.14299999999999999</v>
      </c>
      <c r="J13" s="18">
        <v>0.32600000000000001</v>
      </c>
      <c r="K13" s="18">
        <v>0.30499999999999999</v>
      </c>
      <c r="L13" s="18">
        <v>0.8</v>
      </c>
      <c r="M13" s="18"/>
      <c r="N13" s="18"/>
    </row>
    <row r="14" spans="1:14" ht="15" thickBot="1">
      <c r="A14" s="12" t="s">
        <v>148</v>
      </c>
      <c r="B14" s="18">
        <v>0.39500000000000002</v>
      </c>
      <c r="C14" s="18">
        <v>0.247</v>
      </c>
      <c r="D14" s="18">
        <v>0.109</v>
      </c>
      <c r="E14" s="18">
        <v>2.5000000000000001E-2</v>
      </c>
      <c r="F14" s="18">
        <v>6.5000000000000002E-2</v>
      </c>
      <c r="G14" s="18">
        <v>0.20599999999999999</v>
      </c>
      <c r="H14" s="18">
        <v>0.03</v>
      </c>
      <c r="I14" s="18">
        <v>0.106</v>
      </c>
      <c r="J14" s="18">
        <v>8.6999999999999994E-2</v>
      </c>
      <c r="K14" s="18">
        <v>0.56999999999999995</v>
      </c>
      <c r="L14" s="18">
        <v>0.15</v>
      </c>
      <c r="M14" s="18"/>
      <c r="N14" s="18"/>
    </row>
    <row r="15" spans="1:14" ht="15" thickBot="1">
      <c r="A15" s="12" t="s">
        <v>152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 ht="15" thickBot="1">
      <c r="A16" s="12" t="s">
        <v>153</v>
      </c>
      <c r="B16" s="12">
        <v>1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0</v>
      </c>
      <c r="N16" s="12">
        <v>0</v>
      </c>
    </row>
    <row r="17" spans="2:14">
      <c r="B17" s="58">
        <f>SUM(B2:B14)</f>
        <v>1</v>
      </c>
      <c r="C17" s="58">
        <f t="shared" ref="C17:N17" si="0">SUM(C2:C14)</f>
        <v>1</v>
      </c>
      <c r="D17" s="58">
        <f t="shared" si="0"/>
        <v>1</v>
      </c>
      <c r="E17" s="58">
        <f t="shared" si="0"/>
        <v>1</v>
      </c>
      <c r="F17" s="58">
        <f t="shared" si="0"/>
        <v>1</v>
      </c>
      <c r="G17" s="58">
        <f t="shared" si="0"/>
        <v>0.99999999999999989</v>
      </c>
      <c r="H17" s="58">
        <f t="shared" si="0"/>
        <v>1</v>
      </c>
      <c r="I17" s="58">
        <f t="shared" si="0"/>
        <v>1</v>
      </c>
      <c r="J17" s="58">
        <f t="shared" si="0"/>
        <v>1</v>
      </c>
      <c r="K17" s="58">
        <f t="shared" si="0"/>
        <v>1</v>
      </c>
      <c r="L17" s="58">
        <f t="shared" si="0"/>
        <v>1</v>
      </c>
      <c r="M17" s="58">
        <f t="shared" si="0"/>
        <v>0</v>
      </c>
      <c r="N17" s="5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calculated_data</vt:lpstr>
      <vt:lpstr>Growth_and_Mortality_parameters</vt:lpstr>
      <vt:lpstr>P_B</vt:lpstr>
      <vt:lpstr>Q_B</vt:lpstr>
      <vt:lpstr>Diet_Matrix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2026-07-10T21:03:57Z</dcterms:created>
  <dcterms:modified xsi:type="dcterms:W3CDTF">2026-07-27T11:07:26Z</dcterms:modified>
</cp:coreProperties>
</file>