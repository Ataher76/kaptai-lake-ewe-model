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Saheen sir\Keya Apu\Ecosystem Modeling\For Github\Data\"/>
    </mc:Choice>
  </mc:AlternateContent>
  <xr:revisionPtr revIDLastSave="0" documentId="13_ncr:1_{84C33CC3-B17B-4C5F-860C-F436CE1B84F7}" xr6:coauthVersionLast="47" xr6:coauthVersionMax="47" xr10:uidLastSave="{00000000-0000-0000-0000-000000000000}"/>
  <bookViews>
    <workbookView xWindow="-108" yWindow="-108" windowWidth="23256" windowHeight="12456" xr2:uid="{9E6BEC46-195F-430C-A7F6-F1EC13D7260F}"/>
  </bookViews>
  <sheets>
    <sheet name="calculated_data" sheetId="1" r:id="rId1"/>
    <sheet name="Diet_Matrix" sheetId="7" r:id="rId2"/>
    <sheet name="table 05" sheetId="9" r:id="rId3"/>
    <sheet name="table 08" sheetId="10" r:id="rId4"/>
    <sheet name="table 07" sheetId="11" r:id="rId5"/>
    <sheet name="table 6" sheetId="12" r:id="rId6"/>
    <sheet name="MTI" sheetId="13" r:id="rId7"/>
    <sheet name="niche" sheetId="1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O2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O17" i="1" s="1"/>
  <c r="N18" i="1"/>
  <c r="O18" i="1" s="1"/>
  <c r="O16" i="1"/>
  <c r="O13" i="1"/>
  <c r="O11" i="1"/>
  <c r="O9" i="1"/>
  <c r="O7" i="1"/>
</calcChain>
</file>

<file path=xl/sharedStrings.xml><?xml version="1.0" encoding="utf-8"?>
<sst xmlns="http://schemas.openxmlformats.org/spreadsheetml/2006/main" count="235" uniqueCount="133">
  <si>
    <t>Functional Group</t>
  </si>
  <si>
    <t>Representative Species</t>
  </si>
  <si>
    <t>Carp</t>
  </si>
  <si>
    <t>Labeo rohita</t>
  </si>
  <si>
    <t>Catla catla</t>
  </si>
  <si>
    <t>Cirrhinus mrigala</t>
  </si>
  <si>
    <t>Labeo calbasu</t>
  </si>
  <si>
    <t>Labeo bata</t>
  </si>
  <si>
    <t>Snakehead</t>
  </si>
  <si>
    <t>Channa striata</t>
  </si>
  <si>
    <t>Channa punctata</t>
  </si>
  <si>
    <t>Minnows</t>
  </si>
  <si>
    <t>Puntius sarana</t>
  </si>
  <si>
    <t>Amblypharyngodon mola</t>
  </si>
  <si>
    <t>Clupeid</t>
  </si>
  <si>
    <t>Corica soborna</t>
  </si>
  <si>
    <t>Gudusia chapra</t>
  </si>
  <si>
    <t>Catfish</t>
  </si>
  <si>
    <t>Wallago attu</t>
  </si>
  <si>
    <t>Ompok pabda</t>
  </si>
  <si>
    <t>Mystus guilio</t>
  </si>
  <si>
    <t>Tilapia</t>
  </si>
  <si>
    <t>Oreochromis niloticus</t>
  </si>
  <si>
    <t>Knifefish</t>
  </si>
  <si>
    <t>Notopterus notopterus</t>
  </si>
  <si>
    <t>Anabas</t>
  </si>
  <si>
    <t>Anabas testudineus</t>
  </si>
  <si>
    <t>Total Yield (10 years) (t)</t>
  </si>
  <si>
    <t>Yield (t/km²/year)</t>
  </si>
  <si>
    <t>Proportion (%)</t>
  </si>
  <si>
    <t>L∞​ (cm)</t>
  </si>
  <si>
    <t>K (/yr)</t>
  </si>
  <si>
    <t>M (/yr)</t>
  </si>
  <si>
    <t>Z (/yr)</t>
  </si>
  <si>
    <t>F (/yr)</t>
  </si>
  <si>
    <t>E</t>
  </si>
  <si>
    <t>1. Carp</t>
  </si>
  <si>
    <t>2. Snakehead</t>
  </si>
  <si>
    <t>3. Minnows</t>
  </si>
  <si>
    <t>4. Clupeid</t>
  </si>
  <si>
    <t>5. Catfish</t>
  </si>
  <si>
    <t>6. Tilapia</t>
  </si>
  <si>
    <t>7. Knifefish</t>
  </si>
  <si>
    <t>8. Anabas</t>
  </si>
  <si>
    <t>B/P</t>
  </si>
  <si>
    <t>Weighted Q/B</t>
  </si>
  <si>
    <t>Prey / Predator</t>
  </si>
  <si>
    <t>9. Prawn</t>
  </si>
  <si>
    <t>10. Insect</t>
  </si>
  <si>
    <t>11. Zoop.</t>
  </si>
  <si>
    <t>12. Phyto.</t>
  </si>
  <si>
    <t>13. Detritus</t>
  </si>
  <si>
    <t>10. Insect/Larvae</t>
  </si>
  <si>
    <t>11. Zooplankton</t>
  </si>
  <si>
    <t>12. Phytoplankton</t>
  </si>
  <si>
    <t>Import</t>
  </si>
  <si>
    <t>Sum</t>
  </si>
  <si>
    <t>Biomass</t>
  </si>
  <si>
    <t>Weighted Biomass</t>
  </si>
  <si>
    <t>Prawn</t>
  </si>
  <si>
    <t>Insect/Larvae</t>
  </si>
  <si>
    <t>Zooplankton</t>
  </si>
  <si>
    <t>Phytoplankton</t>
  </si>
  <si>
    <t>Detritus</t>
  </si>
  <si>
    <t>Group name</t>
  </si>
  <si>
    <t>Biomass (t/km²)</t>
  </si>
  <si>
    <t>Trophic Level (TL)</t>
  </si>
  <si>
    <t>P/B (/year)</t>
  </si>
  <si>
    <t>Q/B (/year)</t>
  </si>
  <si>
    <t>EE</t>
  </si>
  <si>
    <t>P/Q</t>
  </si>
  <si>
    <t>-</t>
  </si>
  <si>
    <t>Ecosystem</t>
  </si>
  <si>
    <t>Total system throughput</t>
  </si>
  <si>
    <t>P/R</t>
  </si>
  <si>
    <t>OI</t>
  </si>
  <si>
    <t>Net system production</t>
  </si>
  <si>
    <t>Relative Ascendency (A/C)</t>
  </si>
  <si>
    <t>Cycling Index</t>
  </si>
  <si>
    <t>Reference</t>
  </si>
  <si>
    <t>Kaptai*</t>
  </si>
  <si>
    <t>This study</t>
  </si>
  <si>
    <t>Kaptai</t>
  </si>
  <si>
    <t>Khatun et al., 2021</t>
  </si>
  <si>
    <t>Awassa</t>
  </si>
  <si>
    <t>Fetahi and Mengistou, 2007</t>
  </si>
  <si>
    <t>Ayame</t>
  </si>
  <si>
    <t>Traore et al., 2008</t>
  </si>
  <si>
    <t>Superior</t>
  </si>
  <si>
    <t>Kitchell et al., 2000</t>
  </si>
  <si>
    <t>Bakreswar</t>
  </si>
  <si>
    <t>Banerjee et al., 2016</t>
  </si>
  <si>
    <t>Ravishankar</t>
  </si>
  <si>
    <t>Panikkar et al., 2015</t>
  </si>
  <si>
    <t>Parameter</t>
  </si>
  <si>
    <t>Value</t>
  </si>
  <si>
    <t>Units</t>
  </si>
  <si>
    <t>Total consumption</t>
  </si>
  <si>
    <t>t/km²/year</t>
  </si>
  <si>
    <t>Sum of all exports</t>
  </si>
  <si>
    <t>Sum of all respiratory flows</t>
  </si>
  <si>
    <t>Sum of all flows into detritus</t>
  </si>
  <si>
    <t>Mean trophic level of the catch</t>
  </si>
  <si>
    <t>Sum of all production</t>
  </si>
  <si>
    <t>Calculated total net primary production</t>
  </si>
  <si>
    <t>Total primary production / total respiration</t>
  </si>
  <si>
    <t>Total primary production / total biomass</t>
  </si>
  <si>
    <t>Total biomass / total throughput</t>
  </si>
  <si>
    <t>Total biomass (excluding detritus)</t>
  </si>
  <si>
    <t>t/km²</t>
  </si>
  <si>
    <t>Connectance index</t>
  </si>
  <si>
    <t>System omnivory index</t>
  </si>
  <si>
    <t>Finn’s Cycling Index</t>
  </si>
  <si>
    <t>% of total Throughput</t>
  </si>
  <si>
    <t>Ascendency</t>
  </si>
  <si>
    <t>%</t>
  </si>
  <si>
    <t>Overhead</t>
  </si>
  <si>
    <t>Transfer efficiency</t>
  </si>
  <si>
    <t>Source \ Trophic level</t>
  </si>
  <si>
    <t>II</t>
  </si>
  <si>
    <t>III</t>
  </si>
  <si>
    <t>IV</t>
  </si>
  <si>
    <t>V</t>
  </si>
  <si>
    <t>Producer</t>
  </si>
  <si>
    <t>All flows</t>
  </si>
  <si>
    <r>
      <t>Proportion of total flow originating from detritus:</t>
    </r>
    <r>
      <rPr>
        <sz val="11"/>
        <color rgb="FF1F1F1F"/>
        <rFont val="Arial"/>
        <family val="2"/>
      </rPr>
      <t xml:space="preserve"> 0.21</t>
    </r>
  </si>
  <si>
    <t>Transfer efficiencies (calculated as geometric mean for TL II-IV)</t>
  </si>
  <si>
    <t>From primary producers: 11.00%</t>
  </si>
  <si>
    <t>From detritus: 10.99%</t>
  </si>
  <si>
    <t>Total: 11.00%</t>
  </si>
  <si>
    <t>Mondal et al., 2026</t>
  </si>
  <si>
    <t>Impacting / Impacted</t>
  </si>
  <si>
    <t>Fleet1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</si>
</sst>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readingOrder="1"/>
    </xf>
    <xf numFmtId="0" fontId="1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left" vertical="center" indent="1" readingOrder="1"/>
    </xf>
    <xf numFmtId="164" fontId="0" fillId="0" borderId="0" xfId="0" applyNumberFormat="1"/>
    <xf numFmtId="0" fontId="2" fillId="0" borderId="2" xfId="0" applyFont="1" applyBorder="1" applyAlignment="1">
      <alignment horizontal="right" vertical="center" indent="1" readingOrder="1"/>
    </xf>
    <xf numFmtId="2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B88F-1BDB-491D-B0CD-238F54C41EE1}">
  <dimension ref="A1:O23"/>
  <sheetViews>
    <sheetView tabSelected="1" zoomScale="85" zoomScaleNormal="85" workbookViewId="0">
      <selection activeCell="L28" sqref="L28"/>
    </sheetView>
  </sheetViews>
  <sheetFormatPr defaultRowHeight="14.4" x14ac:dyDescent="0.3"/>
  <cols>
    <col min="1" max="1" width="17.88671875" bestFit="1" customWidth="1"/>
    <col min="2" max="2" width="24.5546875" bestFit="1" customWidth="1"/>
    <col min="3" max="3" width="25.77734375" bestFit="1" customWidth="1"/>
    <col min="4" max="4" width="17.88671875" bestFit="1" customWidth="1"/>
    <col min="5" max="5" width="15.109375" bestFit="1" customWidth="1"/>
    <col min="6" max="6" width="9.88671875" bestFit="1" customWidth="1"/>
    <col min="7" max="7" width="8.21875" bestFit="1" customWidth="1"/>
    <col min="8" max="8" width="8.44140625" bestFit="1" customWidth="1"/>
    <col min="9" max="9" width="7.88671875" bestFit="1" customWidth="1"/>
    <col min="10" max="10" width="8" bestFit="1" customWidth="1"/>
    <col min="11" max="11" width="6.77734375" bestFit="1" customWidth="1"/>
    <col min="12" max="12" width="8.88671875" style="8"/>
    <col min="13" max="13" width="14.44140625" bestFit="1" customWidth="1"/>
    <col min="14" max="14" width="12" bestFit="1" customWidth="1"/>
    <col min="15" max="15" width="21.44140625" bestFit="1" customWidth="1"/>
  </cols>
  <sheetData>
    <row r="1" spans="1:15" ht="15" thickBot="1" x14ac:dyDescent="0.35">
      <c r="A1" s="3" t="s">
        <v>0</v>
      </c>
      <c r="B1" s="3" t="s">
        <v>1</v>
      </c>
      <c r="C1" s="1" t="s">
        <v>27</v>
      </c>
      <c r="D1" s="3" t="s">
        <v>28</v>
      </c>
      <c r="E1" s="3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8" t="s">
        <v>44</v>
      </c>
      <c r="M1" s="3" t="s">
        <v>45</v>
      </c>
      <c r="N1" s="12" t="s">
        <v>57</v>
      </c>
      <c r="O1" s="12" t="s">
        <v>58</v>
      </c>
    </row>
    <row r="2" spans="1:15" ht="15" thickBot="1" x14ac:dyDescent="0.35">
      <c r="A2" s="3" t="s">
        <v>2</v>
      </c>
      <c r="B2" s="4" t="s">
        <v>3</v>
      </c>
      <c r="C2" s="2">
        <v>167.20500000000001</v>
      </c>
      <c r="D2" s="5">
        <v>2.4303000000000002E-2</v>
      </c>
      <c r="E2" s="5">
        <v>6.82</v>
      </c>
      <c r="F2" s="7">
        <v>93.28</v>
      </c>
      <c r="G2" s="7">
        <v>0.92</v>
      </c>
      <c r="H2" s="7">
        <v>1.22</v>
      </c>
      <c r="I2" s="7">
        <v>2.5299999999999998</v>
      </c>
      <c r="J2" s="7">
        <v>1.31</v>
      </c>
      <c r="K2" s="7">
        <v>0.52</v>
      </c>
      <c r="L2" s="19">
        <v>3.5928190000000004</v>
      </c>
      <c r="M2" s="19">
        <v>33.687570056359398</v>
      </c>
      <c r="N2">
        <f t="shared" ref="N2:N18" si="0">D2/J2</f>
        <v>1.8551908396946565E-2</v>
      </c>
      <c r="O2" s="19">
        <f>SUM(N2:N6)</f>
        <v>0.22645393592543833</v>
      </c>
    </row>
    <row r="3" spans="1:15" ht="15" thickBot="1" x14ac:dyDescent="0.35">
      <c r="A3" s="5"/>
      <c r="B3" s="4" t="s">
        <v>4</v>
      </c>
      <c r="C3" s="2">
        <v>281.76900000000001</v>
      </c>
      <c r="D3" s="5">
        <v>4.0954999999999998E-2</v>
      </c>
      <c r="E3" s="5">
        <v>11.5</v>
      </c>
      <c r="F3" s="7">
        <v>93.68</v>
      </c>
      <c r="G3" s="7">
        <v>0.56999999999999995</v>
      </c>
      <c r="H3" s="7">
        <v>0.9</v>
      </c>
      <c r="I3" s="7">
        <v>1.91</v>
      </c>
      <c r="J3" s="7">
        <v>1.01</v>
      </c>
      <c r="K3" s="7">
        <v>0.59</v>
      </c>
      <c r="L3" s="19"/>
      <c r="M3" s="19"/>
      <c r="N3">
        <f t="shared" si="0"/>
        <v>4.0549504950495051E-2</v>
      </c>
      <c r="O3" s="19"/>
    </row>
    <row r="4" spans="1:15" ht="15" thickBot="1" x14ac:dyDescent="0.35">
      <c r="A4" s="5"/>
      <c r="B4" s="4" t="s">
        <v>5</v>
      </c>
      <c r="C4" s="2">
        <v>81.424000000000007</v>
      </c>
      <c r="D4" s="5">
        <v>1.1835E-2</v>
      </c>
      <c r="E4" s="5">
        <v>3.32</v>
      </c>
      <c r="F4" s="7">
        <v>73</v>
      </c>
      <c r="G4" s="7">
        <v>0.56000000000000005</v>
      </c>
      <c r="H4" s="7">
        <v>0.75</v>
      </c>
      <c r="I4" s="7">
        <v>1.87</v>
      </c>
      <c r="J4" s="7">
        <v>1.1200000000000001</v>
      </c>
      <c r="K4" s="7">
        <v>0.6</v>
      </c>
      <c r="L4" s="19"/>
      <c r="M4" s="19"/>
      <c r="N4">
        <f t="shared" si="0"/>
        <v>1.0566964285714285E-2</v>
      </c>
      <c r="O4" s="19"/>
    </row>
    <row r="5" spans="1:15" ht="15" thickBot="1" x14ac:dyDescent="0.35">
      <c r="A5" s="5"/>
      <c r="B5" s="4" t="s">
        <v>6</v>
      </c>
      <c r="C5" s="2">
        <v>686.49300000000005</v>
      </c>
      <c r="D5" s="5">
        <v>9.9780999999999995E-2</v>
      </c>
      <c r="E5" s="5">
        <v>28.01</v>
      </c>
      <c r="F5" s="7">
        <v>49.3</v>
      </c>
      <c r="G5" s="7">
        <v>0.63</v>
      </c>
      <c r="H5" s="7">
        <v>1.1100000000000001</v>
      </c>
      <c r="I5" s="7">
        <v>4.59</v>
      </c>
      <c r="J5" s="7">
        <v>3.48</v>
      </c>
      <c r="K5" s="7">
        <v>0.76</v>
      </c>
      <c r="L5" s="19"/>
      <c r="M5" s="19"/>
      <c r="N5">
        <f t="shared" si="0"/>
        <v>2.8672701149425286E-2</v>
      </c>
      <c r="O5" s="19"/>
    </row>
    <row r="6" spans="1:15" ht="15" thickBot="1" x14ac:dyDescent="0.35">
      <c r="A6" s="5"/>
      <c r="B6" s="4" t="s">
        <v>7</v>
      </c>
      <c r="C6" s="2">
        <v>1233.981</v>
      </c>
      <c r="D6" s="5">
        <v>0.17935799999999999</v>
      </c>
      <c r="E6" s="5">
        <v>50.35</v>
      </c>
      <c r="F6" s="7">
        <v>32.1</v>
      </c>
      <c r="G6" s="7">
        <v>1.5</v>
      </c>
      <c r="H6" s="7">
        <v>2.29</v>
      </c>
      <c r="I6" s="7">
        <v>3.68</v>
      </c>
      <c r="J6" s="7">
        <v>1.4</v>
      </c>
      <c r="K6" s="7">
        <v>0.38</v>
      </c>
      <c r="L6" s="19"/>
      <c r="M6" s="19"/>
      <c r="N6">
        <f t="shared" si="0"/>
        <v>0.12811285714285714</v>
      </c>
      <c r="O6" s="19"/>
    </row>
    <row r="7" spans="1:15" ht="15" thickBot="1" x14ac:dyDescent="0.35">
      <c r="A7" s="3" t="s">
        <v>8</v>
      </c>
      <c r="B7" s="4" t="s">
        <v>9</v>
      </c>
      <c r="C7" s="2">
        <v>260.52999999999997</v>
      </c>
      <c r="D7" s="5">
        <v>3.7867999999999999E-2</v>
      </c>
      <c r="E7" s="5">
        <v>88.84</v>
      </c>
      <c r="F7" s="7">
        <v>63</v>
      </c>
      <c r="G7" s="7">
        <v>0.77</v>
      </c>
      <c r="H7" s="7">
        <v>1.24</v>
      </c>
      <c r="I7" s="7">
        <v>2.4500000000000002</v>
      </c>
      <c r="J7" s="7">
        <v>1.21</v>
      </c>
      <c r="K7" s="7">
        <v>0.49</v>
      </c>
      <c r="L7" s="20">
        <v>2.5258880000000006</v>
      </c>
      <c r="M7" s="20">
        <v>7.3968907666719312</v>
      </c>
      <c r="N7">
        <f t="shared" si="0"/>
        <v>3.129586776859504E-2</v>
      </c>
      <c r="O7" s="20">
        <f>SUM(N7:N8)</f>
        <v>3.4336123359649355E-2</v>
      </c>
    </row>
    <row r="8" spans="1:15" ht="15" thickBot="1" x14ac:dyDescent="0.35">
      <c r="A8" s="5"/>
      <c r="B8" s="4" t="s">
        <v>10</v>
      </c>
      <c r="C8" s="2">
        <v>32.738</v>
      </c>
      <c r="D8" s="5">
        <v>4.7580000000000001E-3</v>
      </c>
      <c r="E8" s="5">
        <v>11.16</v>
      </c>
      <c r="F8" s="7">
        <v>24</v>
      </c>
      <c r="G8" s="7">
        <v>0.9</v>
      </c>
      <c r="H8" s="7">
        <v>2.16</v>
      </c>
      <c r="I8" s="7">
        <v>3.13</v>
      </c>
      <c r="J8" s="7">
        <v>1.5649999999999999</v>
      </c>
      <c r="K8" s="7">
        <v>0.5</v>
      </c>
      <c r="L8" s="20"/>
      <c r="M8" s="20"/>
      <c r="N8">
        <f t="shared" si="0"/>
        <v>3.0402555910543131E-3</v>
      </c>
      <c r="O8" s="20"/>
    </row>
    <row r="9" spans="1:15" ht="15" thickBot="1" x14ac:dyDescent="0.35">
      <c r="A9" s="3" t="s">
        <v>11</v>
      </c>
      <c r="B9" s="4" t="s">
        <v>12</v>
      </c>
      <c r="C9" s="2">
        <v>101.59399999999999</v>
      </c>
      <c r="D9" s="5">
        <v>1.4767000000000001E-2</v>
      </c>
      <c r="E9" s="5">
        <v>1.49</v>
      </c>
      <c r="F9" s="7">
        <v>40.799999999999997</v>
      </c>
      <c r="G9" s="7">
        <v>0.49</v>
      </c>
      <c r="H9" s="7">
        <v>0.91</v>
      </c>
      <c r="I9" s="7">
        <v>1.1599999999999999</v>
      </c>
      <c r="J9" s="7">
        <v>0.24</v>
      </c>
      <c r="K9" s="7">
        <v>0.2</v>
      </c>
      <c r="L9" s="21">
        <v>3.22871</v>
      </c>
      <c r="M9" s="21">
        <v>24.949115017890612</v>
      </c>
      <c r="N9">
        <f t="shared" si="0"/>
        <v>6.152916666666667E-2</v>
      </c>
      <c r="O9" s="21">
        <f t="shared" ref="O9" si="1">SUM(N9:N10)</f>
        <v>0.54043259803921573</v>
      </c>
    </row>
    <row r="10" spans="1:15" ht="15" thickBot="1" x14ac:dyDescent="0.35">
      <c r="A10" s="5"/>
      <c r="B10" s="4" t="s">
        <v>13</v>
      </c>
      <c r="C10" s="2">
        <v>6721.5039999999999</v>
      </c>
      <c r="D10" s="5">
        <v>0.97696300000000003</v>
      </c>
      <c r="E10" s="5">
        <v>98.51</v>
      </c>
      <c r="F10" s="7">
        <v>10.46</v>
      </c>
      <c r="G10" s="7">
        <v>0.95</v>
      </c>
      <c r="H10" s="7">
        <v>1.22</v>
      </c>
      <c r="I10" s="7">
        <v>3.26</v>
      </c>
      <c r="J10" s="7">
        <v>2.04</v>
      </c>
      <c r="K10" s="7">
        <v>0.63</v>
      </c>
      <c r="L10" s="21"/>
      <c r="M10" s="21"/>
      <c r="N10">
        <f t="shared" si="0"/>
        <v>0.47890343137254904</v>
      </c>
      <c r="O10" s="21"/>
    </row>
    <row r="11" spans="1:15" ht="15" thickBot="1" x14ac:dyDescent="0.35">
      <c r="A11" s="3" t="s">
        <v>14</v>
      </c>
      <c r="B11" s="4" t="s">
        <v>15</v>
      </c>
      <c r="C11" s="2">
        <v>43000.152000000002</v>
      </c>
      <c r="D11" s="5">
        <v>6.2500220000000004</v>
      </c>
      <c r="E11" s="5">
        <v>49.76</v>
      </c>
      <c r="F11" s="7">
        <v>5.03</v>
      </c>
      <c r="G11" s="7">
        <v>2.62</v>
      </c>
      <c r="H11" s="7">
        <v>1.35</v>
      </c>
      <c r="I11" s="7">
        <v>4.75</v>
      </c>
      <c r="J11" s="7">
        <v>3.4</v>
      </c>
      <c r="K11" s="7">
        <v>0.72</v>
      </c>
      <c r="L11" s="20">
        <v>3.8456800000000002</v>
      </c>
      <c r="M11" s="20">
        <v>36.376322387464242</v>
      </c>
      <c r="N11">
        <f t="shared" si="0"/>
        <v>1.8382417647058826</v>
      </c>
      <c r="O11" s="20">
        <f t="shared" ref="O11" si="2">SUM(N11:N12)</f>
        <v>5.8314335368577819</v>
      </c>
    </row>
    <row r="12" spans="1:15" ht="15" thickBot="1" x14ac:dyDescent="0.35">
      <c r="A12" s="5"/>
      <c r="B12" s="4" t="s">
        <v>16</v>
      </c>
      <c r="C12" s="2">
        <v>43407.589</v>
      </c>
      <c r="D12" s="5">
        <v>6.3092430000000004</v>
      </c>
      <c r="E12" s="5">
        <v>50.24</v>
      </c>
      <c r="F12" s="7">
        <v>19.59</v>
      </c>
      <c r="G12" s="7">
        <v>0.56000000000000005</v>
      </c>
      <c r="H12" s="7">
        <v>1.37</v>
      </c>
      <c r="I12" s="7">
        <v>2.95</v>
      </c>
      <c r="J12" s="7">
        <v>1.58</v>
      </c>
      <c r="K12" s="7">
        <v>0.54</v>
      </c>
      <c r="L12" s="20"/>
      <c r="M12" s="20"/>
      <c r="N12">
        <f t="shared" si="0"/>
        <v>3.9931917721518988</v>
      </c>
      <c r="O12" s="20"/>
    </row>
    <row r="13" spans="1:15" ht="15" thickBot="1" x14ac:dyDescent="0.35">
      <c r="A13" s="3" t="s">
        <v>17</v>
      </c>
      <c r="B13" s="4" t="s">
        <v>18</v>
      </c>
      <c r="C13" s="2">
        <v>422.93299999999999</v>
      </c>
      <c r="D13" s="5">
        <v>6.1473E-2</v>
      </c>
      <c r="E13" s="5">
        <v>51.52</v>
      </c>
      <c r="F13" s="7">
        <v>99.75</v>
      </c>
      <c r="G13" s="7">
        <v>1.3</v>
      </c>
      <c r="H13" s="7">
        <v>1.47</v>
      </c>
      <c r="I13" s="7">
        <v>3.37</v>
      </c>
      <c r="J13" s="7">
        <v>1.9</v>
      </c>
      <c r="K13" s="7">
        <v>0.56000000000000005</v>
      </c>
      <c r="L13" s="22">
        <v>3.6551269999999998</v>
      </c>
      <c r="M13" s="22">
        <v>9.469223052076968</v>
      </c>
      <c r="N13">
        <f t="shared" si="0"/>
        <v>3.2354210526315791E-2</v>
      </c>
      <c r="O13" s="22">
        <f>SUM(N13:N15)</f>
        <v>8.1683263817851848E-2</v>
      </c>
    </row>
    <row r="14" spans="1:15" ht="15" thickBot="1" x14ac:dyDescent="0.35">
      <c r="A14" s="5"/>
      <c r="B14" s="4" t="s">
        <v>19</v>
      </c>
      <c r="C14" s="2">
        <v>65.084999999999994</v>
      </c>
      <c r="D14" s="5">
        <v>9.4599999999999997E-3</v>
      </c>
      <c r="E14" s="5">
        <v>7.93</v>
      </c>
      <c r="F14" s="7">
        <v>21</v>
      </c>
      <c r="G14" s="7">
        <v>1</v>
      </c>
      <c r="H14" s="7">
        <v>1.92</v>
      </c>
      <c r="I14" s="7">
        <v>2.21</v>
      </c>
      <c r="J14" s="7">
        <v>0.28999999999999998</v>
      </c>
      <c r="K14" s="7">
        <v>0.13</v>
      </c>
      <c r="L14" s="22"/>
      <c r="M14" s="22"/>
      <c r="N14">
        <f t="shared" si="0"/>
        <v>3.2620689655172418E-2</v>
      </c>
      <c r="O14" s="22"/>
    </row>
    <row r="15" spans="1:15" ht="15" thickBot="1" x14ac:dyDescent="0.35">
      <c r="A15" s="5"/>
      <c r="B15" s="4" t="s">
        <v>20</v>
      </c>
      <c r="C15" s="2">
        <v>316.12200000000001</v>
      </c>
      <c r="D15" s="5">
        <v>4.5948000000000003E-2</v>
      </c>
      <c r="E15" s="5">
        <v>40.549999999999997</v>
      </c>
      <c r="F15" s="7">
        <v>19.34</v>
      </c>
      <c r="G15" s="7">
        <v>0.94</v>
      </c>
      <c r="H15" s="7">
        <v>1.55</v>
      </c>
      <c r="I15" s="7">
        <v>4.3</v>
      </c>
      <c r="J15" s="7">
        <v>2.75</v>
      </c>
      <c r="K15" s="7">
        <v>0.64</v>
      </c>
      <c r="L15" s="22"/>
      <c r="M15" s="22"/>
      <c r="N15">
        <f t="shared" si="0"/>
        <v>1.6708363636363636E-2</v>
      </c>
      <c r="O15" s="22"/>
    </row>
    <row r="16" spans="1:15" ht="15" thickBot="1" x14ac:dyDescent="0.35">
      <c r="A16" s="3" t="s">
        <v>21</v>
      </c>
      <c r="B16" s="4" t="s">
        <v>22</v>
      </c>
      <c r="C16" s="2">
        <v>1098.963</v>
      </c>
      <c r="D16" s="5">
        <v>0.15973300000000001</v>
      </c>
      <c r="E16" s="5">
        <v>100</v>
      </c>
      <c r="F16" s="7">
        <v>55.59</v>
      </c>
      <c r="G16" s="7">
        <v>0.39</v>
      </c>
      <c r="H16" s="7">
        <v>0.8</v>
      </c>
      <c r="I16" s="7">
        <v>1.39</v>
      </c>
      <c r="J16" s="7">
        <v>0.59</v>
      </c>
      <c r="K16" s="7">
        <v>0.42</v>
      </c>
      <c r="L16" s="9">
        <v>1.39</v>
      </c>
      <c r="M16" s="9">
        <v>27.90699780510489</v>
      </c>
      <c r="N16">
        <f t="shared" si="0"/>
        <v>0.27073389830508476</v>
      </c>
      <c r="O16" s="9">
        <f>N16</f>
        <v>0.27073389830508476</v>
      </c>
    </row>
    <row r="17" spans="1:15" ht="15" thickBot="1" x14ac:dyDescent="0.35">
      <c r="A17" s="3" t="s">
        <v>23</v>
      </c>
      <c r="B17" s="4" t="s">
        <v>24</v>
      </c>
      <c r="C17" s="2">
        <v>633.35</v>
      </c>
      <c r="D17" s="5">
        <v>9.2057E-2</v>
      </c>
      <c r="E17" s="5">
        <v>100</v>
      </c>
      <c r="F17" s="7">
        <v>34.909999999999997</v>
      </c>
      <c r="G17" s="7">
        <v>0.38</v>
      </c>
      <c r="H17" s="7">
        <v>0.91</v>
      </c>
      <c r="I17" s="7">
        <v>1.19</v>
      </c>
      <c r="J17" s="7">
        <v>0.28000000000000003</v>
      </c>
      <c r="K17" s="7">
        <v>0.24</v>
      </c>
      <c r="L17" s="9">
        <v>1.19</v>
      </c>
      <c r="M17" s="9">
        <v>8.4206608479402245</v>
      </c>
      <c r="N17">
        <f t="shared" si="0"/>
        <v>0.32877499999999998</v>
      </c>
      <c r="O17" s="9">
        <f t="shared" ref="O17:O18" si="3">N17</f>
        <v>0.32877499999999998</v>
      </c>
    </row>
    <row r="18" spans="1:15" ht="15" thickBot="1" x14ac:dyDescent="0.35">
      <c r="A18" s="3" t="s">
        <v>25</v>
      </c>
      <c r="B18" s="4" t="s">
        <v>26</v>
      </c>
      <c r="C18" s="2">
        <v>0.68200000000000005</v>
      </c>
      <c r="D18" s="5">
        <v>9.8999999999999994E-5</v>
      </c>
      <c r="E18" s="5">
        <v>100</v>
      </c>
      <c r="F18" s="7">
        <v>17.100000000000001</v>
      </c>
      <c r="G18" s="7">
        <v>1.4</v>
      </c>
      <c r="H18" s="7">
        <v>2.52</v>
      </c>
      <c r="I18" s="7">
        <v>3.79</v>
      </c>
      <c r="J18" s="7">
        <v>1.89</v>
      </c>
      <c r="K18" s="7">
        <v>0.5</v>
      </c>
      <c r="L18" s="9">
        <v>3.79</v>
      </c>
      <c r="M18" s="9">
        <v>14.187074215608828</v>
      </c>
      <c r="N18">
        <f t="shared" si="0"/>
        <v>5.2380952380952378E-5</v>
      </c>
      <c r="O18" s="9">
        <f t="shared" si="3"/>
        <v>5.2380952380952378E-5</v>
      </c>
    </row>
    <row r="19" spans="1:15" ht="15" thickBot="1" x14ac:dyDescent="0.35">
      <c r="A19" s="3" t="s">
        <v>59</v>
      </c>
      <c r="L19" s="13">
        <v>3.16</v>
      </c>
      <c r="M19" s="13">
        <v>12.64</v>
      </c>
    </row>
    <row r="20" spans="1:15" ht="15" thickBot="1" x14ac:dyDescent="0.35">
      <c r="A20" s="3" t="s">
        <v>60</v>
      </c>
      <c r="L20" s="13">
        <v>4</v>
      </c>
      <c r="M20" s="13">
        <v>30</v>
      </c>
    </row>
    <row r="21" spans="1:15" ht="15" thickBot="1" x14ac:dyDescent="0.35">
      <c r="A21" s="3" t="s">
        <v>61</v>
      </c>
      <c r="L21" s="13">
        <v>35</v>
      </c>
      <c r="M21" s="13">
        <v>140</v>
      </c>
    </row>
    <row r="22" spans="1:15" ht="15" thickBot="1" x14ac:dyDescent="0.35">
      <c r="A22" s="3" t="s">
        <v>62</v>
      </c>
      <c r="L22" s="13">
        <v>203</v>
      </c>
      <c r="M22" s="13"/>
    </row>
    <row r="23" spans="1:15" ht="15" thickBot="1" x14ac:dyDescent="0.35">
      <c r="A23" s="3" t="s">
        <v>63</v>
      </c>
    </row>
  </sheetData>
  <mergeCells count="15">
    <mergeCell ref="O2:O6"/>
    <mergeCell ref="O7:O8"/>
    <mergeCell ref="O9:O10"/>
    <mergeCell ref="O11:O12"/>
    <mergeCell ref="O13:O15"/>
    <mergeCell ref="L2:L6"/>
    <mergeCell ref="L7:L8"/>
    <mergeCell ref="L9:L10"/>
    <mergeCell ref="L11:L12"/>
    <mergeCell ref="L13:L15"/>
    <mergeCell ref="M2:M6"/>
    <mergeCell ref="M7:M8"/>
    <mergeCell ref="M9:M10"/>
    <mergeCell ref="M11:M12"/>
    <mergeCell ref="M13:M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3BCF-F218-4CCC-BFE1-C48E0CCEEFC4}">
  <dimension ref="A1:N35"/>
  <sheetViews>
    <sheetView workbookViewId="0">
      <selection activeCell="E20" sqref="E20"/>
    </sheetView>
  </sheetViews>
  <sheetFormatPr defaultRowHeight="14.4" x14ac:dyDescent="0.3"/>
  <cols>
    <col min="1" max="1" width="18.5546875" bestFit="1" customWidth="1"/>
    <col min="2" max="2" width="7.77734375" bestFit="1" customWidth="1"/>
    <col min="3" max="3" width="14.109375" bestFit="1" customWidth="1"/>
    <col min="4" max="4" width="11.88671875" bestFit="1" customWidth="1"/>
    <col min="5" max="5" width="10.6640625" bestFit="1" customWidth="1"/>
    <col min="6" max="6" width="10" bestFit="1" customWidth="1"/>
    <col min="7" max="7" width="9.5546875" bestFit="1" customWidth="1"/>
    <col min="8" max="8" width="11.88671875" bestFit="1" customWidth="1"/>
    <col min="9" max="9" width="10.44140625" bestFit="1" customWidth="1"/>
    <col min="10" max="10" width="9.33203125" bestFit="1" customWidth="1"/>
    <col min="11" max="11" width="10.21875" bestFit="1" customWidth="1"/>
    <col min="12" max="12" width="9.6640625" bestFit="1" customWidth="1"/>
    <col min="13" max="13" width="10.5546875" bestFit="1" customWidth="1"/>
    <col min="14" max="14" width="12" bestFit="1" customWidth="1"/>
  </cols>
  <sheetData>
    <row r="1" spans="1:14" ht="15" thickBot="1" x14ac:dyDescent="0.35">
      <c r="A1" s="3" t="s">
        <v>46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</row>
    <row r="2" spans="1:14" ht="15" thickBot="1" x14ac:dyDescent="0.35">
      <c r="A2" s="3" t="s">
        <v>36</v>
      </c>
      <c r="B2" s="7"/>
      <c r="C2" s="7">
        <v>1.2E-2</v>
      </c>
      <c r="D2" s="7"/>
      <c r="E2" s="7"/>
      <c r="F2" s="7">
        <v>0.05</v>
      </c>
      <c r="G2" s="7"/>
      <c r="H2" s="7"/>
      <c r="I2" s="7"/>
      <c r="J2" s="7"/>
      <c r="K2" s="7"/>
      <c r="L2" s="7"/>
      <c r="M2" s="7"/>
      <c r="N2" s="7"/>
    </row>
    <row r="3" spans="1:14" ht="15" thickBot="1" x14ac:dyDescent="0.35">
      <c r="A3" s="3" t="s">
        <v>37</v>
      </c>
      <c r="B3" s="7"/>
      <c r="C3" s="7"/>
      <c r="D3" s="7"/>
      <c r="E3" s="7"/>
      <c r="F3" s="7">
        <v>2.5000000000000001E-2</v>
      </c>
      <c r="G3" s="7"/>
      <c r="H3" s="7"/>
      <c r="I3" s="7"/>
      <c r="J3" s="7"/>
      <c r="K3" s="7"/>
      <c r="L3" s="7"/>
      <c r="M3" s="7"/>
      <c r="N3" s="7"/>
    </row>
    <row r="4" spans="1:14" ht="15" thickBot="1" x14ac:dyDescent="0.35">
      <c r="A4" s="3" t="s">
        <v>38</v>
      </c>
      <c r="B4" s="7"/>
      <c r="C4" s="7">
        <v>0.17699999999999999</v>
      </c>
      <c r="D4" s="7"/>
      <c r="E4" s="7"/>
      <c r="F4" s="7">
        <v>0.1</v>
      </c>
      <c r="G4" s="7"/>
      <c r="H4" s="7">
        <v>0.1</v>
      </c>
      <c r="I4" s="7">
        <v>0.15</v>
      </c>
      <c r="J4" s="7"/>
      <c r="K4" s="7"/>
      <c r="L4" s="7"/>
      <c r="M4" s="7"/>
      <c r="N4" s="7"/>
    </row>
    <row r="5" spans="1:14" ht="15" thickBot="1" x14ac:dyDescent="0.35">
      <c r="A5" s="3" t="s">
        <v>39</v>
      </c>
      <c r="B5" s="7"/>
      <c r="C5" s="7">
        <v>0.24099999999999999</v>
      </c>
      <c r="D5" s="7"/>
      <c r="E5" s="7"/>
      <c r="F5" s="7">
        <v>0.47499999999999998</v>
      </c>
      <c r="G5" s="7"/>
      <c r="H5" s="7">
        <v>0.2</v>
      </c>
      <c r="I5" s="7">
        <v>0.2</v>
      </c>
      <c r="J5" s="7"/>
      <c r="K5" s="7"/>
      <c r="L5" s="7"/>
      <c r="M5" s="7"/>
      <c r="N5" s="7"/>
    </row>
    <row r="6" spans="1:14" ht="15" thickBot="1" x14ac:dyDescent="0.35">
      <c r="A6" s="3" t="s">
        <v>40</v>
      </c>
      <c r="B6" s="7"/>
      <c r="C6" s="7">
        <v>1.0999999999999999E-2</v>
      </c>
      <c r="D6" s="7"/>
      <c r="E6" s="7"/>
      <c r="F6" s="7">
        <v>4.4999999999999998E-2</v>
      </c>
      <c r="G6" s="7"/>
      <c r="H6" s="7"/>
      <c r="I6" s="7"/>
      <c r="J6" s="7"/>
      <c r="K6" s="7"/>
      <c r="L6" s="7"/>
      <c r="M6" s="7"/>
      <c r="N6" s="7"/>
    </row>
    <row r="7" spans="1:14" ht="15" thickBot="1" x14ac:dyDescent="0.35">
      <c r="A7" s="3" t="s">
        <v>41</v>
      </c>
      <c r="B7" s="7"/>
      <c r="C7" s="7"/>
      <c r="D7" s="7"/>
      <c r="E7" s="7"/>
      <c r="F7" s="7">
        <v>2.5000000000000001E-2</v>
      </c>
      <c r="G7" s="7"/>
      <c r="H7" s="7"/>
      <c r="I7" s="7"/>
      <c r="J7" s="7"/>
      <c r="K7" s="7"/>
      <c r="L7" s="7"/>
      <c r="M7" s="7"/>
      <c r="N7" s="7"/>
    </row>
    <row r="8" spans="1:14" ht="15" thickBot="1" x14ac:dyDescent="0.35">
      <c r="A8" s="3" t="s">
        <v>42</v>
      </c>
      <c r="B8" s="7"/>
      <c r="C8" s="7"/>
      <c r="D8" s="7"/>
      <c r="E8" s="7"/>
      <c r="F8" s="7">
        <v>3.0000000000000001E-3</v>
      </c>
      <c r="G8" s="7"/>
      <c r="H8" s="7"/>
      <c r="I8" s="7"/>
      <c r="J8" s="7"/>
      <c r="K8" s="7"/>
      <c r="L8" s="7"/>
      <c r="M8" s="7"/>
      <c r="N8" s="7"/>
    </row>
    <row r="9" spans="1:14" ht="15" thickBot="1" x14ac:dyDescent="0.35">
      <c r="A9" s="3" t="s">
        <v>43</v>
      </c>
      <c r="B9" s="7"/>
      <c r="C9" s="7"/>
      <c r="D9" s="7"/>
      <c r="E9" s="7"/>
      <c r="F9" s="7">
        <v>1E-3</v>
      </c>
      <c r="G9" s="7"/>
      <c r="H9" s="7"/>
      <c r="I9" s="7"/>
      <c r="J9" s="7"/>
      <c r="K9" s="7"/>
      <c r="L9" s="7"/>
      <c r="M9" s="7"/>
      <c r="N9" s="7"/>
    </row>
    <row r="10" spans="1:14" ht="15" thickBot="1" x14ac:dyDescent="0.35">
      <c r="A10" s="3" t="s">
        <v>47</v>
      </c>
      <c r="B10" s="7"/>
      <c r="C10" s="7"/>
      <c r="D10" s="7"/>
      <c r="E10" s="7"/>
      <c r="F10" s="7">
        <v>4.0000000000000001E-3</v>
      </c>
      <c r="G10" s="7"/>
      <c r="H10" s="7">
        <v>0.35</v>
      </c>
      <c r="I10" s="7">
        <v>8.0000000000000002E-3</v>
      </c>
      <c r="J10" s="7">
        <v>4.2999999999999997E-2</v>
      </c>
      <c r="K10" s="7"/>
      <c r="L10" s="7"/>
      <c r="M10" s="7"/>
      <c r="N10" s="7"/>
    </row>
    <row r="11" spans="1:14" ht="15" thickBot="1" x14ac:dyDescent="0.35">
      <c r="A11" s="3" t="s">
        <v>52</v>
      </c>
      <c r="B11" s="7"/>
      <c r="C11" s="7">
        <v>0.114</v>
      </c>
      <c r="D11" s="7">
        <v>7.0000000000000007E-2</v>
      </c>
      <c r="E11" s="7"/>
      <c r="F11" s="7"/>
      <c r="G11" s="7">
        <v>2.3E-2</v>
      </c>
      <c r="H11" s="7">
        <v>0.18</v>
      </c>
      <c r="I11" s="7">
        <v>0.14499999999999999</v>
      </c>
      <c r="J11" s="7">
        <v>0.17399999999999999</v>
      </c>
      <c r="K11" s="7"/>
      <c r="L11" s="7"/>
      <c r="M11" s="7"/>
      <c r="N11" s="7"/>
    </row>
    <row r="12" spans="1:14" ht="15" thickBot="1" x14ac:dyDescent="0.35">
      <c r="A12" s="3" t="s">
        <v>53</v>
      </c>
      <c r="B12" s="7">
        <v>5.5E-2</v>
      </c>
      <c r="C12" s="7">
        <v>0.182</v>
      </c>
      <c r="D12" s="7">
        <v>0.19600000000000001</v>
      </c>
      <c r="E12" s="7">
        <v>0.6</v>
      </c>
      <c r="F12" s="7">
        <v>7.0000000000000007E-2</v>
      </c>
      <c r="G12" s="7">
        <v>6.5000000000000002E-2</v>
      </c>
      <c r="H12" s="7">
        <v>0.09</v>
      </c>
      <c r="I12" s="7">
        <v>0.248</v>
      </c>
      <c r="J12" s="7">
        <v>0.37</v>
      </c>
      <c r="K12" s="7">
        <v>0.125</v>
      </c>
      <c r="L12" s="7">
        <v>0.05</v>
      </c>
      <c r="M12" s="7"/>
      <c r="N12" s="7"/>
    </row>
    <row r="13" spans="1:14" ht="15" thickBot="1" x14ac:dyDescent="0.35">
      <c r="A13" s="3" t="s">
        <v>54</v>
      </c>
      <c r="B13" s="7">
        <v>0.55000000000000004</v>
      </c>
      <c r="C13" s="7">
        <v>1.6E-2</v>
      </c>
      <c r="D13" s="7">
        <v>0.625</v>
      </c>
      <c r="E13" s="7">
        <v>0.375</v>
      </c>
      <c r="F13" s="7">
        <v>0.13700000000000001</v>
      </c>
      <c r="G13" s="7">
        <v>0.70599999999999996</v>
      </c>
      <c r="H13" s="7">
        <v>0.05</v>
      </c>
      <c r="I13" s="7">
        <v>0.14299999999999999</v>
      </c>
      <c r="J13" s="7">
        <v>0.32600000000000001</v>
      </c>
      <c r="K13" s="7">
        <v>0.30499999999999999</v>
      </c>
      <c r="L13" s="7">
        <v>0.8</v>
      </c>
      <c r="M13" s="7"/>
      <c r="N13" s="7"/>
    </row>
    <row r="14" spans="1:14" ht="15" thickBot="1" x14ac:dyDescent="0.35">
      <c r="A14" s="3" t="s">
        <v>51</v>
      </c>
      <c r="B14" s="7">
        <v>0.39500000000000002</v>
      </c>
      <c r="C14" s="7">
        <v>0.247</v>
      </c>
      <c r="D14" s="7">
        <v>0.109</v>
      </c>
      <c r="E14" s="7">
        <v>2.5000000000000001E-2</v>
      </c>
      <c r="F14" s="7">
        <v>6.5000000000000002E-2</v>
      </c>
      <c r="G14" s="7">
        <v>0.20599999999999999</v>
      </c>
      <c r="H14" s="7">
        <v>0.03</v>
      </c>
      <c r="I14" s="7">
        <v>0.106</v>
      </c>
      <c r="J14" s="7">
        <v>8.6999999999999994E-2</v>
      </c>
      <c r="K14" s="7">
        <v>0.56999999999999995</v>
      </c>
      <c r="L14" s="7">
        <v>0.15</v>
      </c>
      <c r="M14" s="7"/>
      <c r="N14" s="7"/>
    </row>
    <row r="15" spans="1:14" ht="15" thickBot="1" x14ac:dyDescent="0.35">
      <c r="A15" s="3" t="s">
        <v>55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15" thickBot="1" x14ac:dyDescent="0.35">
      <c r="A16" s="3" t="s">
        <v>56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0</v>
      </c>
      <c r="N16" s="3">
        <v>0</v>
      </c>
    </row>
    <row r="17" spans="1:14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20" spans="1:14" ht="15" thickBot="1" x14ac:dyDescent="0.35"/>
    <row r="21" spans="1:14" ht="15" thickBo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thickBot="1" x14ac:dyDescent="0.35">
      <c r="A22" s="10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15" thickBot="1" x14ac:dyDescent="0.35">
      <c r="A23" s="10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ht="15" thickBot="1" x14ac:dyDescent="0.35">
      <c r="A24" s="10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ht="15" thickBot="1" x14ac:dyDescent="0.35">
      <c r="A25" s="10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ht="15" thickBot="1" x14ac:dyDescent="0.35">
      <c r="A26" s="10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ht="15" thickBot="1" x14ac:dyDescent="0.35">
      <c r="A27" s="1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ht="15" thickBot="1" x14ac:dyDescent="0.35">
      <c r="A28" s="10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ht="15" thickBot="1" x14ac:dyDescent="0.35">
      <c r="A29" s="1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ht="15" thickBot="1" x14ac:dyDescent="0.35">
      <c r="A30" s="10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thickBot="1" x14ac:dyDescent="0.35">
      <c r="A31" s="10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15" thickBot="1" x14ac:dyDescent="0.35">
      <c r="A32" s="10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ht="15" thickBot="1" x14ac:dyDescent="0.35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15" thickBot="1" x14ac:dyDescent="0.35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ht="15" thickBot="1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6E89-ACA7-4BFA-9FAA-F673A948C229}">
  <dimension ref="A1:G14"/>
  <sheetViews>
    <sheetView workbookViewId="0">
      <selection activeCell="E21" sqref="E2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16.33203125" bestFit="1" customWidth="1"/>
    <col min="4" max="4" width="11.109375" bestFit="1" customWidth="1"/>
    <col min="5" max="5" width="11.33203125" bestFit="1" customWidth="1"/>
    <col min="6" max="7" width="7.33203125" bestFit="1" customWidth="1"/>
    <col min="8" max="8" width="15.109375" customWidth="1"/>
    <col min="9" max="9" width="10.6640625" customWidth="1"/>
    <col min="10" max="10" width="18.6640625" customWidth="1"/>
    <col min="11" max="11" width="14.5546875" customWidth="1"/>
    <col min="12" max="12" width="8.6640625" customWidth="1"/>
  </cols>
  <sheetData>
    <row r="1" spans="1:7" ht="15" thickBot="1" x14ac:dyDescent="0.35">
      <c r="A1" s="16" t="s">
        <v>0</v>
      </c>
      <c r="B1" s="16" t="s">
        <v>66</v>
      </c>
      <c r="C1" s="16" t="s">
        <v>65</v>
      </c>
      <c r="D1" s="16" t="s">
        <v>67</v>
      </c>
      <c r="E1" s="16" t="s">
        <v>68</v>
      </c>
      <c r="F1" s="16" t="s">
        <v>69</v>
      </c>
      <c r="G1" s="16" t="s">
        <v>70</v>
      </c>
    </row>
    <row r="2" spans="1:7" ht="15" thickBot="1" x14ac:dyDescent="0.35">
      <c r="A2" s="15" t="s">
        <v>2</v>
      </c>
      <c r="B2" s="14">
        <v>2.0579999999999998</v>
      </c>
      <c r="C2" s="15">
        <v>0.22600000000000001</v>
      </c>
      <c r="D2" s="15">
        <v>3.593</v>
      </c>
      <c r="E2" s="15">
        <v>33.688000000000002</v>
      </c>
      <c r="F2" s="14">
        <v>0.48899999999999999</v>
      </c>
      <c r="G2" s="14">
        <v>0.107</v>
      </c>
    </row>
    <row r="3" spans="1:7" ht="15" thickBot="1" x14ac:dyDescent="0.35">
      <c r="A3" s="15" t="s">
        <v>8</v>
      </c>
      <c r="B3" s="14">
        <v>2.9780000000000002</v>
      </c>
      <c r="C3" s="15">
        <v>3.4000000000000002E-2</v>
      </c>
      <c r="D3" s="15">
        <v>2.5259999999999998</v>
      </c>
      <c r="E3" s="15">
        <v>7.3970000000000002</v>
      </c>
      <c r="F3" s="14">
        <v>0.71399999999999997</v>
      </c>
      <c r="G3" s="14">
        <v>0.34100000000000003</v>
      </c>
    </row>
    <row r="4" spans="1:7" ht="15" thickBot="1" x14ac:dyDescent="0.35">
      <c r="A4" s="15" t="s">
        <v>11</v>
      </c>
      <c r="B4" s="14">
        <v>2.286</v>
      </c>
      <c r="C4" s="15">
        <v>0.54</v>
      </c>
      <c r="D4" s="15">
        <v>3.2290000000000001</v>
      </c>
      <c r="E4" s="15">
        <v>24.949000000000002</v>
      </c>
      <c r="F4" s="14">
        <v>0.79700000000000004</v>
      </c>
      <c r="G4" s="14">
        <v>0.129</v>
      </c>
    </row>
    <row r="5" spans="1:7" ht="15" thickBot="1" x14ac:dyDescent="0.35">
      <c r="A5" s="15" t="s">
        <v>14</v>
      </c>
      <c r="B5" s="14">
        <v>2.6320000000000001</v>
      </c>
      <c r="C5" s="15">
        <v>5.8310000000000004</v>
      </c>
      <c r="D5" s="15">
        <v>3.8460000000000001</v>
      </c>
      <c r="E5" s="15">
        <v>36.375999999999998</v>
      </c>
      <c r="F5" s="14">
        <v>0.60399999999999998</v>
      </c>
      <c r="G5" s="14">
        <v>0.106</v>
      </c>
    </row>
    <row r="6" spans="1:7" ht="15" thickBot="1" x14ac:dyDescent="0.35">
      <c r="A6" s="15" t="s">
        <v>17</v>
      </c>
      <c r="B6" s="14">
        <v>3.2229999999999999</v>
      </c>
      <c r="C6" s="15">
        <v>8.2000000000000003E-2</v>
      </c>
      <c r="D6" s="15">
        <v>3.6549999999999998</v>
      </c>
      <c r="E6" s="15">
        <v>9.4689999999999994</v>
      </c>
      <c r="F6" s="14">
        <v>0.51700000000000002</v>
      </c>
      <c r="G6" s="14">
        <v>0.38600000000000001</v>
      </c>
    </row>
    <row r="7" spans="1:7" ht="15" thickBot="1" x14ac:dyDescent="0.35">
      <c r="A7" s="15" t="s">
        <v>21</v>
      </c>
      <c r="B7" s="14">
        <v>2.0939999999999999</v>
      </c>
      <c r="C7" s="15">
        <v>0.27100000000000002</v>
      </c>
      <c r="D7" s="15">
        <v>1.39</v>
      </c>
      <c r="E7" s="15">
        <v>27.907</v>
      </c>
      <c r="F7" s="14">
        <v>0.47599999999999998</v>
      </c>
      <c r="G7" s="14">
        <v>0.05</v>
      </c>
    </row>
    <row r="8" spans="1:7" ht="15" thickBot="1" x14ac:dyDescent="0.35">
      <c r="A8" s="15" t="s">
        <v>23</v>
      </c>
      <c r="B8" s="14">
        <v>3.3330000000000002</v>
      </c>
      <c r="C8" s="15">
        <v>0.32900000000000001</v>
      </c>
      <c r="D8" s="15">
        <v>1.19</v>
      </c>
      <c r="E8" s="15">
        <v>8.4209999999999994</v>
      </c>
      <c r="F8" s="14">
        <v>0.24099999999999999</v>
      </c>
      <c r="G8" s="14">
        <v>0.14099999999999999</v>
      </c>
    </row>
    <row r="9" spans="1:7" ht="15" thickBot="1" x14ac:dyDescent="0.35">
      <c r="A9" s="15" t="s">
        <v>25</v>
      </c>
      <c r="B9" s="14">
        <v>2.9580000000000002</v>
      </c>
      <c r="C9" s="14">
        <v>2.0000000000000001E-4</v>
      </c>
      <c r="D9" s="15">
        <v>3.79</v>
      </c>
      <c r="E9" s="15">
        <v>14.186999999999999</v>
      </c>
      <c r="F9" s="15">
        <v>0.95</v>
      </c>
      <c r="G9" s="14">
        <v>0.26700000000000002</v>
      </c>
    </row>
    <row r="10" spans="1:7" ht="15" thickBot="1" x14ac:dyDescent="0.35">
      <c r="A10" s="15" t="s">
        <v>59</v>
      </c>
      <c r="B10" s="14">
        <v>2.6579999999999999</v>
      </c>
      <c r="C10" s="14">
        <v>0.39500000000000002</v>
      </c>
      <c r="D10" s="15">
        <v>3.16</v>
      </c>
      <c r="E10" s="15">
        <v>12.64</v>
      </c>
      <c r="F10" s="15">
        <v>0.95</v>
      </c>
      <c r="G10" s="14">
        <v>0.25</v>
      </c>
    </row>
    <row r="11" spans="1:7" ht="15" thickBot="1" x14ac:dyDescent="0.35">
      <c r="A11" s="15" t="s">
        <v>60</v>
      </c>
      <c r="B11" s="14">
        <v>2.1320000000000001</v>
      </c>
      <c r="C11" s="14">
        <v>0.66200000000000003</v>
      </c>
      <c r="D11" s="15">
        <v>4</v>
      </c>
      <c r="E11" s="15">
        <v>30</v>
      </c>
      <c r="F11" s="15">
        <v>0.95</v>
      </c>
      <c r="G11" s="14">
        <v>0.13300000000000001</v>
      </c>
    </row>
    <row r="12" spans="1:7" ht="15" thickBot="1" x14ac:dyDescent="0.35">
      <c r="A12" s="15" t="s">
        <v>61</v>
      </c>
      <c r="B12" s="14">
        <v>2.0529999999999999</v>
      </c>
      <c r="C12" s="14">
        <v>5.1619999999999999</v>
      </c>
      <c r="D12" s="15">
        <v>35</v>
      </c>
      <c r="E12" s="15">
        <v>140</v>
      </c>
      <c r="F12" s="15">
        <v>0.95</v>
      </c>
      <c r="G12" s="14">
        <v>0.25</v>
      </c>
    </row>
    <row r="13" spans="1:7" ht="15" thickBot="1" x14ac:dyDescent="0.35">
      <c r="A13" s="15" t="s">
        <v>62</v>
      </c>
      <c r="B13" s="15">
        <v>1</v>
      </c>
      <c r="C13" s="14">
        <v>3.5449999999999999</v>
      </c>
      <c r="D13" s="15">
        <v>203</v>
      </c>
      <c r="E13" s="15" t="s">
        <v>71</v>
      </c>
      <c r="F13" s="15">
        <v>0.95</v>
      </c>
      <c r="G13" s="15" t="s">
        <v>71</v>
      </c>
    </row>
    <row r="14" spans="1:7" ht="15" thickBot="1" x14ac:dyDescent="0.35">
      <c r="A14" s="15" t="s">
        <v>63</v>
      </c>
      <c r="B14" s="15">
        <v>1</v>
      </c>
      <c r="C14" s="15">
        <v>1</v>
      </c>
      <c r="D14" s="15" t="s">
        <v>71</v>
      </c>
      <c r="E14" s="15" t="s">
        <v>71</v>
      </c>
      <c r="F14" s="14">
        <v>0.51900000000000002</v>
      </c>
      <c r="G14" s="15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514D-E0C4-47EB-A4CC-81D37CEEF375}">
  <dimension ref="A1:H9"/>
  <sheetViews>
    <sheetView workbookViewId="0">
      <selection activeCell="E16" sqref="E16"/>
    </sheetView>
  </sheetViews>
  <sheetFormatPr defaultRowHeight="14.4" x14ac:dyDescent="0.3"/>
  <cols>
    <col min="1" max="1" width="11.88671875" bestFit="1" customWidth="1"/>
    <col min="2" max="2" width="25.109375" bestFit="1" customWidth="1"/>
    <col min="3" max="4" width="7.33203125" bestFit="1" customWidth="1"/>
    <col min="5" max="5" width="23.44140625" bestFit="1" customWidth="1"/>
    <col min="6" max="6" width="27.44140625" bestFit="1" customWidth="1"/>
    <col min="7" max="7" width="14.44140625" bestFit="1" customWidth="1"/>
    <col min="8" max="8" width="27.5546875" bestFit="1" customWidth="1"/>
  </cols>
  <sheetData>
    <row r="1" spans="1:8" ht="15" thickBot="1" x14ac:dyDescent="0.35">
      <c r="A1" s="16" t="s">
        <v>72</v>
      </c>
      <c r="B1" s="16" t="s">
        <v>73</v>
      </c>
      <c r="C1" s="16" t="s">
        <v>74</v>
      </c>
      <c r="D1" s="16" t="s">
        <v>75</v>
      </c>
      <c r="E1" s="16" t="s">
        <v>76</v>
      </c>
      <c r="F1" s="16" t="s">
        <v>77</v>
      </c>
      <c r="G1" s="16" t="s">
        <v>78</v>
      </c>
      <c r="H1" s="16" t="s">
        <v>79</v>
      </c>
    </row>
    <row r="2" spans="1:8" ht="15" thickBot="1" x14ac:dyDescent="0.35">
      <c r="A2" s="15" t="s">
        <v>80</v>
      </c>
      <c r="B2" s="15">
        <v>1965.73</v>
      </c>
      <c r="C2" s="15">
        <v>1.23</v>
      </c>
      <c r="D2" s="15">
        <v>0.19500000000000001</v>
      </c>
      <c r="E2" s="15">
        <v>136.58000000000001</v>
      </c>
      <c r="F2" s="15">
        <v>0.26100000000000001</v>
      </c>
      <c r="G2" s="15">
        <v>8.1</v>
      </c>
      <c r="H2" s="7" t="s">
        <v>81</v>
      </c>
    </row>
    <row r="3" spans="1:8" ht="15" thickBot="1" x14ac:dyDescent="0.35">
      <c r="A3" s="15" t="s">
        <v>82</v>
      </c>
      <c r="B3" s="15">
        <v>6073.39</v>
      </c>
      <c r="C3" s="15">
        <v>1.97</v>
      </c>
      <c r="D3" s="15">
        <v>0.19800000000000001</v>
      </c>
      <c r="E3" s="15">
        <v>1168.6400000000001</v>
      </c>
      <c r="F3" s="15">
        <v>0.30099999999999999</v>
      </c>
      <c r="G3" s="15">
        <v>5.73</v>
      </c>
      <c r="H3" s="7" t="s">
        <v>83</v>
      </c>
    </row>
    <row r="4" spans="1:8" ht="15" thickBot="1" x14ac:dyDescent="0.35">
      <c r="A4" s="15" t="s">
        <v>82</v>
      </c>
      <c r="B4" s="15">
        <v>5997.49</v>
      </c>
      <c r="C4" s="15">
        <v>2.0299999999999998</v>
      </c>
      <c r="D4" s="15">
        <v>0.16600000000000001</v>
      </c>
      <c r="E4" s="15">
        <v>1207.55</v>
      </c>
      <c r="F4" s="15">
        <v>0.32100000000000001</v>
      </c>
      <c r="G4" s="15">
        <v>5.63</v>
      </c>
      <c r="H4" s="7" t="s">
        <v>130</v>
      </c>
    </row>
    <row r="5" spans="1:8" ht="15" thickBot="1" x14ac:dyDescent="0.35">
      <c r="A5" s="15" t="s">
        <v>84</v>
      </c>
      <c r="B5" s="15">
        <v>18217</v>
      </c>
      <c r="C5" s="15">
        <v>5.83</v>
      </c>
      <c r="D5" s="15" t="s">
        <v>71</v>
      </c>
      <c r="E5" s="15">
        <v>6808.07</v>
      </c>
      <c r="F5" s="15" t="s">
        <v>71</v>
      </c>
      <c r="G5" s="15" t="s">
        <v>71</v>
      </c>
      <c r="H5" s="7" t="s">
        <v>85</v>
      </c>
    </row>
    <row r="6" spans="1:8" ht="15" thickBot="1" x14ac:dyDescent="0.35">
      <c r="A6" s="15" t="s">
        <v>86</v>
      </c>
      <c r="B6" s="15" t="s">
        <v>71</v>
      </c>
      <c r="C6" s="15" t="s">
        <v>71</v>
      </c>
      <c r="D6" s="15">
        <v>0.19</v>
      </c>
      <c r="E6" s="15" t="s">
        <v>71</v>
      </c>
      <c r="F6" s="15">
        <v>0.26400000000000001</v>
      </c>
      <c r="G6" s="15" t="s">
        <v>71</v>
      </c>
      <c r="H6" s="7" t="s">
        <v>87</v>
      </c>
    </row>
    <row r="7" spans="1:8" ht="15" thickBot="1" x14ac:dyDescent="0.35">
      <c r="A7" s="15" t="s">
        <v>88</v>
      </c>
      <c r="B7" s="15">
        <v>3547.7</v>
      </c>
      <c r="C7" s="15">
        <v>1.6</v>
      </c>
      <c r="D7" s="15">
        <v>0.09</v>
      </c>
      <c r="E7" s="15" t="s">
        <v>71</v>
      </c>
      <c r="F7" s="15">
        <v>0.504</v>
      </c>
      <c r="G7" s="15">
        <v>0.39</v>
      </c>
      <c r="H7" s="7" t="s">
        <v>89</v>
      </c>
    </row>
    <row r="8" spans="1:8" ht="15" thickBot="1" x14ac:dyDescent="0.35">
      <c r="A8" s="15" t="s">
        <v>90</v>
      </c>
      <c r="B8" s="15">
        <v>4435.96</v>
      </c>
      <c r="C8" s="15">
        <v>1.72</v>
      </c>
      <c r="D8" s="15">
        <v>0.11</v>
      </c>
      <c r="E8" s="15">
        <v>908.22</v>
      </c>
      <c r="F8" s="15">
        <v>0.25</v>
      </c>
      <c r="G8" s="15">
        <v>8.44</v>
      </c>
      <c r="H8" s="7" t="s">
        <v>91</v>
      </c>
    </row>
    <row r="9" spans="1:8" ht="28.2" thickBot="1" x14ac:dyDescent="0.35">
      <c r="A9" s="15" t="s">
        <v>92</v>
      </c>
      <c r="B9" s="15">
        <v>38903</v>
      </c>
      <c r="C9" s="15">
        <v>10.36</v>
      </c>
      <c r="D9" s="15">
        <v>0.16</v>
      </c>
      <c r="E9" s="15">
        <v>15.33</v>
      </c>
      <c r="F9" s="15">
        <v>0.46800000000000003</v>
      </c>
      <c r="G9" s="15">
        <v>1.99</v>
      </c>
      <c r="H9" s="7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E947-4B2A-4B13-B619-BD677AEE3E75}">
  <dimension ref="A1:C20"/>
  <sheetViews>
    <sheetView workbookViewId="0">
      <selection activeCell="A2" sqref="A2:C20"/>
    </sheetView>
  </sheetViews>
  <sheetFormatPr defaultRowHeight="14.4" x14ac:dyDescent="0.3"/>
  <cols>
    <col min="1" max="1" width="38.6640625" bestFit="1" customWidth="1"/>
    <col min="2" max="2" width="9.5546875" bestFit="1" customWidth="1"/>
    <col min="3" max="3" width="20.44140625" bestFit="1" customWidth="1"/>
  </cols>
  <sheetData>
    <row r="1" spans="1:3" ht="15" thickBot="1" x14ac:dyDescent="0.35">
      <c r="A1" s="16" t="s">
        <v>94</v>
      </c>
      <c r="B1" s="16" t="s">
        <v>95</v>
      </c>
      <c r="C1" s="16" t="s">
        <v>96</v>
      </c>
    </row>
    <row r="2" spans="1:3" ht="15" thickBot="1" x14ac:dyDescent="0.35">
      <c r="A2" s="17" t="s">
        <v>97</v>
      </c>
      <c r="B2" s="17">
        <v>992.17</v>
      </c>
      <c r="C2" s="17" t="s">
        <v>98</v>
      </c>
    </row>
    <row r="3" spans="1:3" ht="15" thickBot="1" x14ac:dyDescent="0.35">
      <c r="A3" s="17" t="s">
        <v>99</v>
      </c>
      <c r="B3" s="17">
        <v>136.58000000000001</v>
      </c>
      <c r="C3" s="17" t="s">
        <v>98</v>
      </c>
    </row>
    <row r="4" spans="1:3" ht="15" thickBot="1" x14ac:dyDescent="0.35">
      <c r="A4" s="17" t="s">
        <v>100</v>
      </c>
      <c r="B4" s="17">
        <v>583.02</v>
      </c>
      <c r="C4" s="17" t="s">
        <v>98</v>
      </c>
    </row>
    <row r="5" spans="1:3" ht="15" thickBot="1" x14ac:dyDescent="0.35">
      <c r="A5" s="17" t="s">
        <v>101</v>
      </c>
      <c r="B5" s="17">
        <v>253.96</v>
      </c>
      <c r="C5" s="17" t="s">
        <v>98</v>
      </c>
    </row>
    <row r="6" spans="1:3" ht="15" thickBot="1" x14ac:dyDescent="0.35">
      <c r="A6" s="17" t="s">
        <v>102</v>
      </c>
      <c r="B6" s="17">
        <v>2.6</v>
      </c>
      <c r="C6" s="17"/>
    </row>
    <row r="7" spans="1:3" ht="15" thickBot="1" x14ac:dyDescent="0.35">
      <c r="A7" s="17" t="s">
        <v>73</v>
      </c>
      <c r="B7" s="17">
        <v>1965.73</v>
      </c>
      <c r="C7" s="17" t="s">
        <v>98</v>
      </c>
    </row>
    <row r="8" spans="1:3" ht="15" thickBot="1" x14ac:dyDescent="0.35">
      <c r="A8" s="17" t="s">
        <v>103</v>
      </c>
      <c r="B8" s="17">
        <v>930.32</v>
      </c>
      <c r="C8" s="17" t="s">
        <v>98</v>
      </c>
    </row>
    <row r="9" spans="1:3" ht="15" thickBot="1" x14ac:dyDescent="0.35">
      <c r="A9" s="17" t="s">
        <v>104</v>
      </c>
      <c r="B9" s="17">
        <v>719.6</v>
      </c>
      <c r="C9" s="17" t="s">
        <v>98</v>
      </c>
    </row>
    <row r="10" spans="1:3" ht="15" thickBot="1" x14ac:dyDescent="0.35">
      <c r="A10" s="17" t="s">
        <v>105</v>
      </c>
      <c r="B10" s="17">
        <v>1.23</v>
      </c>
      <c r="C10" s="17"/>
    </row>
    <row r="11" spans="1:3" ht="15" thickBot="1" x14ac:dyDescent="0.35">
      <c r="A11" s="17" t="s">
        <v>76</v>
      </c>
      <c r="B11" s="17">
        <v>136.58000000000001</v>
      </c>
      <c r="C11" s="17" t="s">
        <v>98</v>
      </c>
    </row>
    <row r="12" spans="1:3" ht="15" thickBot="1" x14ac:dyDescent="0.35">
      <c r="A12" s="17" t="s">
        <v>106</v>
      </c>
      <c r="B12" s="17">
        <v>42.14</v>
      </c>
      <c r="C12" s="17"/>
    </row>
    <row r="13" spans="1:3" ht="15" thickBot="1" x14ac:dyDescent="0.35">
      <c r="A13" s="17" t="s">
        <v>107</v>
      </c>
      <c r="B13" s="17">
        <v>8.9999999999999993E-3</v>
      </c>
      <c r="C13" s="17" t="s">
        <v>98</v>
      </c>
    </row>
    <row r="14" spans="1:3" ht="15" thickBot="1" x14ac:dyDescent="0.35">
      <c r="A14" s="17" t="s">
        <v>108</v>
      </c>
      <c r="B14" s="17">
        <v>17.079999999999998</v>
      </c>
      <c r="C14" s="17" t="s">
        <v>109</v>
      </c>
    </row>
    <row r="15" spans="1:3" ht="15" thickBot="1" x14ac:dyDescent="0.35">
      <c r="A15" s="17" t="s">
        <v>110</v>
      </c>
      <c r="B15" s="17">
        <v>0.41</v>
      </c>
      <c r="C15" s="17"/>
    </row>
    <row r="16" spans="1:3" ht="15" thickBot="1" x14ac:dyDescent="0.35">
      <c r="A16" s="17" t="s">
        <v>111</v>
      </c>
      <c r="B16" s="17">
        <v>0.2</v>
      </c>
      <c r="C16" s="17"/>
    </row>
    <row r="17" spans="1:3" ht="15" thickBot="1" x14ac:dyDescent="0.35">
      <c r="A17" s="17" t="s">
        <v>112</v>
      </c>
      <c r="B17" s="17">
        <v>8.1</v>
      </c>
      <c r="C17" s="17" t="s">
        <v>113</v>
      </c>
    </row>
    <row r="18" spans="1:3" ht="15" thickBot="1" x14ac:dyDescent="0.35">
      <c r="A18" s="17" t="s">
        <v>114</v>
      </c>
      <c r="B18" s="17">
        <v>26.1</v>
      </c>
      <c r="C18" s="17" t="s">
        <v>115</v>
      </c>
    </row>
    <row r="19" spans="1:3" ht="15" thickBot="1" x14ac:dyDescent="0.35">
      <c r="A19" s="17" t="s">
        <v>116</v>
      </c>
      <c r="B19" s="17">
        <v>73.900000000000006</v>
      </c>
      <c r="C19" s="17" t="s">
        <v>115</v>
      </c>
    </row>
    <row r="20" spans="1:3" ht="15" thickBot="1" x14ac:dyDescent="0.35">
      <c r="A20" s="17" t="s">
        <v>77</v>
      </c>
      <c r="B20" s="17">
        <v>0.26100000000000001</v>
      </c>
      <c r="C2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1CC8-F456-40F1-A5C8-8B487D6A95EA}">
  <dimension ref="A1:E10"/>
  <sheetViews>
    <sheetView workbookViewId="0">
      <selection activeCell="A2" sqref="A2:E10"/>
    </sheetView>
  </sheetViews>
  <sheetFormatPr defaultRowHeight="14.4" x14ac:dyDescent="0.3"/>
  <cols>
    <col min="1" max="1" width="63.88671875" bestFit="1" customWidth="1"/>
    <col min="2" max="2" width="7.33203125" bestFit="1" customWidth="1"/>
    <col min="3" max="5" width="6.21875" bestFit="1" customWidth="1"/>
  </cols>
  <sheetData>
    <row r="1" spans="1:5" ht="15" thickBot="1" x14ac:dyDescent="0.35">
      <c r="A1" s="16" t="s">
        <v>117</v>
      </c>
      <c r="B1" s="14"/>
      <c r="C1" s="14"/>
      <c r="D1" s="14"/>
      <c r="E1" s="14"/>
    </row>
    <row r="2" spans="1:5" ht="15" thickBot="1" x14ac:dyDescent="0.35">
      <c r="A2" s="16" t="s">
        <v>118</v>
      </c>
      <c r="B2" s="14" t="s">
        <v>119</v>
      </c>
      <c r="C2" s="14" t="s">
        <v>120</v>
      </c>
      <c r="D2" s="14" t="s">
        <v>121</v>
      </c>
      <c r="E2" s="14" t="s">
        <v>122</v>
      </c>
    </row>
    <row r="3" spans="1:5" ht="15" thickBot="1" x14ac:dyDescent="0.35">
      <c r="A3" s="17" t="s">
        <v>123</v>
      </c>
      <c r="B3" s="15">
        <v>17.68</v>
      </c>
      <c r="C3" s="15">
        <v>8.68</v>
      </c>
      <c r="D3" s="15">
        <v>8.67</v>
      </c>
      <c r="E3" s="15">
        <v>8.7100000000000009</v>
      </c>
    </row>
    <row r="4" spans="1:5" ht="15" thickBot="1" x14ac:dyDescent="0.35">
      <c r="A4" s="17" t="s">
        <v>63</v>
      </c>
      <c r="B4" s="15">
        <v>17.75</v>
      </c>
      <c r="C4" s="15">
        <v>8.8000000000000007</v>
      </c>
      <c r="D4" s="15">
        <v>8.5</v>
      </c>
      <c r="E4" s="15">
        <v>8.6199999999999992</v>
      </c>
    </row>
    <row r="5" spans="1:5" ht="15" thickBot="1" x14ac:dyDescent="0.35">
      <c r="A5" s="17" t="s">
        <v>124</v>
      </c>
      <c r="B5" s="15">
        <v>17.690000000000001</v>
      </c>
      <c r="C5" s="15">
        <v>8.6999999999999993</v>
      </c>
      <c r="D5" s="15">
        <v>8.64</v>
      </c>
      <c r="E5" s="15">
        <v>8.69</v>
      </c>
    </row>
    <row r="6" spans="1:5" ht="15" thickBot="1" x14ac:dyDescent="0.35">
      <c r="A6" s="16" t="s">
        <v>125</v>
      </c>
      <c r="B6" s="15"/>
      <c r="C6" s="15"/>
      <c r="D6" s="15"/>
      <c r="E6" s="15"/>
    </row>
    <row r="7" spans="1:5" ht="15" thickBot="1" x14ac:dyDescent="0.35">
      <c r="A7" s="16" t="s">
        <v>126</v>
      </c>
      <c r="B7" s="15"/>
      <c r="C7" s="15"/>
      <c r="D7" s="15"/>
      <c r="E7" s="15"/>
    </row>
    <row r="8" spans="1:5" ht="15" thickBot="1" x14ac:dyDescent="0.35">
      <c r="A8" s="17" t="s">
        <v>127</v>
      </c>
      <c r="B8" s="15"/>
      <c r="C8" s="15"/>
      <c r="D8" s="15"/>
      <c r="E8" s="15"/>
    </row>
    <row r="9" spans="1:5" ht="15" thickBot="1" x14ac:dyDescent="0.35">
      <c r="A9" s="17" t="s">
        <v>128</v>
      </c>
      <c r="B9" s="15"/>
      <c r="C9" s="15"/>
      <c r="D9" s="15"/>
      <c r="E9" s="15"/>
    </row>
    <row r="10" spans="1:5" ht="15" thickBot="1" x14ac:dyDescent="0.35">
      <c r="A10" s="17" t="s">
        <v>129</v>
      </c>
      <c r="B10" s="15"/>
      <c r="C10" s="15"/>
      <c r="D10" s="15"/>
      <c r="E10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202F-FA1E-4D23-8D15-8A08DD99B88C}">
  <dimension ref="A1:O15"/>
  <sheetViews>
    <sheetView workbookViewId="0">
      <selection activeCell="K19" sqref="K19"/>
    </sheetView>
  </sheetViews>
  <sheetFormatPr defaultRowHeight="14.4" x14ac:dyDescent="0.3"/>
  <sheetData>
    <row r="1" spans="1:15" ht="43.2" x14ac:dyDescent="0.3">
      <c r="A1" s="18" t="s">
        <v>131</v>
      </c>
      <c r="B1" s="18" t="s">
        <v>2</v>
      </c>
      <c r="C1" s="18" t="s">
        <v>8</v>
      </c>
      <c r="D1" s="18" t="s">
        <v>11</v>
      </c>
      <c r="E1" s="18" t="s">
        <v>14</v>
      </c>
      <c r="F1" s="18" t="s">
        <v>17</v>
      </c>
      <c r="G1" s="18" t="s">
        <v>21</v>
      </c>
      <c r="H1" s="18" t="s">
        <v>23</v>
      </c>
      <c r="I1" s="18" t="s">
        <v>25</v>
      </c>
      <c r="J1" s="18" t="s">
        <v>59</v>
      </c>
      <c r="K1" s="18" t="s">
        <v>60</v>
      </c>
      <c r="L1" s="18" t="s">
        <v>61</v>
      </c>
      <c r="M1" s="18" t="s">
        <v>62</v>
      </c>
      <c r="N1" s="18" t="s">
        <v>63</v>
      </c>
      <c r="O1" s="18" t="s">
        <v>132</v>
      </c>
    </row>
    <row r="2" spans="1:15" x14ac:dyDescent="0.3">
      <c r="A2" s="18" t="s">
        <v>2</v>
      </c>
      <c r="B2" s="18">
        <v>-2.3900000000000001E-2</v>
      </c>
      <c r="C2" s="18">
        <v>-1.5299999999999999E-2</v>
      </c>
      <c r="D2" s="18">
        <v>-1.1900000000000001E-2</v>
      </c>
      <c r="E2" s="18">
        <v>-1.2999999999999999E-2</v>
      </c>
      <c r="F2" s="18">
        <v>2.52E-2</v>
      </c>
      <c r="G2" s="18">
        <v>-2.1100000000000001E-2</v>
      </c>
      <c r="H2" s="18">
        <v>-1.55E-2</v>
      </c>
      <c r="I2" s="18">
        <v>-3.1800000000000002E-2</v>
      </c>
      <c r="J2" s="18">
        <v>7.2700000000000004E-3</v>
      </c>
      <c r="K2" s="18">
        <v>-6.8199999999999997E-3</v>
      </c>
      <c r="L2" s="18">
        <v>5.4799999999999998E-4</v>
      </c>
      <c r="M2" s="18">
        <v>-4.5900000000000003E-3</v>
      </c>
      <c r="N2" s="18">
        <v>-2.1299999999999999E-2</v>
      </c>
      <c r="O2" s="18">
        <v>1.1900000000000001E-2</v>
      </c>
    </row>
    <row r="3" spans="1:15" ht="28.8" x14ac:dyDescent="0.3">
      <c r="A3" s="18" t="s">
        <v>8</v>
      </c>
      <c r="B3" s="18">
        <v>-7.0699999999999999E-3</v>
      </c>
      <c r="C3" s="18">
        <v>-6.0400000000000002E-3</v>
      </c>
      <c r="D3" s="18">
        <v>-3.1E-2</v>
      </c>
      <c r="E3" s="18">
        <v>-2.47E-3</v>
      </c>
      <c r="F3" s="18">
        <v>2.8600000000000001E-3</v>
      </c>
      <c r="G3" s="18">
        <v>6.1600000000000001E-4</v>
      </c>
      <c r="H3" s="18">
        <v>-1.72E-3</v>
      </c>
      <c r="I3" s="18">
        <v>-7.3899999999999999E-3</v>
      </c>
      <c r="J3" s="18">
        <v>1.39E-3</v>
      </c>
      <c r="K3" s="18">
        <v>-4.9600000000000002E-4</v>
      </c>
      <c r="L3" s="18">
        <v>1.3500000000000001E-3</v>
      </c>
      <c r="M3" s="18">
        <v>-4.3600000000000003E-4</v>
      </c>
      <c r="N3" s="18">
        <v>-9.4399999999999996E-4</v>
      </c>
      <c r="O3" s="18">
        <v>-1.5100000000000001E-3</v>
      </c>
    </row>
    <row r="4" spans="1:15" x14ac:dyDescent="0.3">
      <c r="A4" s="18" t="s">
        <v>11</v>
      </c>
      <c r="B4" s="18">
        <v>-3.6499999999999998E-2</v>
      </c>
      <c r="C4" s="18">
        <v>8.8999999999999996E-2</v>
      </c>
      <c r="D4" s="18">
        <v>-5.3600000000000002E-2</v>
      </c>
      <c r="E4" s="18">
        <v>-3.2899999999999999E-2</v>
      </c>
      <c r="F4" s="18">
        <v>4.19E-2</v>
      </c>
      <c r="G4" s="18">
        <v>-4.8099999999999997E-2</v>
      </c>
      <c r="H4" s="18">
        <v>-1.9400000000000001E-2</v>
      </c>
      <c r="I4" s="18">
        <v>4.7899999999999998E-2</v>
      </c>
      <c r="J4" s="18">
        <v>-3.6200000000000003E-2</v>
      </c>
      <c r="K4" s="18">
        <v>-0.33100000000000002</v>
      </c>
      <c r="L4" s="18">
        <v>7.6299999999999996E-3</v>
      </c>
      <c r="M4" s="18">
        <v>-1.0699999999999999E-2</v>
      </c>
      <c r="N4" s="18">
        <v>1.44E-2</v>
      </c>
      <c r="O4" s="18">
        <v>3.5700000000000003E-2</v>
      </c>
    </row>
    <row r="5" spans="1:15" x14ac:dyDescent="0.3">
      <c r="A5" s="18" t="s">
        <v>14</v>
      </c>
      <c r="B5" s="18">
        <v>-0.25800000000000001</v>
      </c>
      <c r="C5" s="18">
        <v>-0.161</v>
      </c>
      <c r="D5" s="18">
        <v>-0.183</v>
      </c>
      <c r="E5" s="18">
        <v>-0.47299999999999998</v>
      </c>
      <c r="F5" s="18">
        <v>-9.0300000000000005E-2</v>
      </c>
      <c r="G5" s="18">
        <v>-0.26400000000000001</v>
      </c>
      <c r="H5" s="18">
        <v>-0.25</v>
      </c>
      <c r="I5" s="18">
        <v>0.11600000000000001</v>
      </c>
      <c r="J5" s="18">
        <v>0.184</v>
      </c>
      <c r="K5" s="18">
        <v>0.17799999999999999</v>
      </c>
      <c r="L5" s="18">
        <v>-0.22500000000000001</v>
      </c>
      <c r="M5" s="18">
        <v>0.13300000000000001</v>
      </c>
      <c r="N5" s="18">
        <v>0.159</v>
      </c>
      <c r="O5" s="18">
        <v>0.437</v>
      </c>
    </row>
    <row r="6" spans="1:15" x14ac:dyDescent="0.3">
      <c r="A6" s="18" t="s">
        <v>17</v>
      </c>
      <c r="B6" s="18">
        <v>-7.3999999999999996E-2</v>
      </c>
      <c r="C6" s="18">
        <v>-0.253</v>
      </c>
      <c r="D6" s="18">
        <v>-2.9399999999999999E-2</v>
      </c>
      <c r="E6" s="18">
        <v>-1.09E-2</v>
      </c>
      <c r="F6" s="18">
        <v>-0.161</v>
      </c>
      <c r="G6" s="18">
        <v>-8.4400000000000003E-2</v>
      </c>
      <c r="H6" s="18">
        <v>-1.0800000000000001E-2</v>
      </c>
      <c r="I6" s="18">
        <v>-0.746</v>
      </c>
      <c r="J6" s="18">
        <v>9.4500000000000001E-3</v>
      </c>
      <c r="K6" s="18">
        <v>1.7299999999999999E-2</v>
      </c>
      <c r="L6" s="18">
        <v>5.45E-3</v>
      </c>
      <c r="M6" s="18">
        <v>-2.16E-3</v>
      </c>
      <c r="N6" s="18">
        <v>-2.7299999999999998E-3</v>
      </c>
      <c r="O6" s="18">
        <v>-8.3999999999999995E-3</v>
      </c>
    </row>
    <row r="7" spans="1:15" x14ac:dyDescent="0.3">
      <c r="A7" s="18" t="s">
        <v>21</v>
      </c>
      <c r="B7" s="18">
        <v>-9.7000000000000003E-3</v>
      </c>
      <c r="C7" s="18">
        <v>-1.9099999999999999E-2</v>
      </c>
      <c r="D7" s="18">
        <v>-8.0800000000000004E-3</v>
      </c>
      <c r="E7" s="18">
        <v>-6.4799999999999996E-3</v>
      </c>
      <c r="F7" s="18">
        <v>1.3299999999999999E-2</v>
      </c>
      <c r="G7" s="18">
        <v>-1.15E-2</v>
      </c>
      <c r="H7" s="18">
        <v>-1.8800000000000001E-2</v>
      </c>
      <c r="I7" s="18">
        <v>-2.5899999999999999E-2</v>
      </c>
      <c r="J7" s="18">
        <v>1.1299999999999999E-3</v>
      </c>
      <c r="K7" s="18">
        <v>-6.59E-2</v>
      </c>
      <c r="L7" s="18">
        <v>-1.3699999999999999E-3</v>
      </c>
      <c r="M7" s="18">
        <v>-5.0499999999999998E-3</v>
      </c>
      <c r="N7" s="18">
        <v>-4.3E-3</v>
      </c>
      <c r="O7" s="18">
        <v>4.47E-3</v>
      </c>
    </row>
    <row r="8" spans="1:15" x14ac:dyDescent="0.3">
      <c r="A8" s="18" t="s">
        <v>23</v>
      </c>
      <c r="B8" s="18">
        <v>9.1999999999999998E-3</v>
      </c>
      <c r="C8" s="18">
        <v>-7.1999999999999998E-3</v>
      </c>
      <c r="D8" s="18">
        <v>-0.14599999999999999</v>
      </c>
      <c r="E8" s="18">
        <v>-1.38E-2</v>
      </c>
      <c r="F8" s="18">
        <v>-7.0499999999999998E-3</v>
      </c>
      <c r="G8" s="18">
        <v>1.2699999999999999E-2</v>
      </c>
      <c r="H8" s="18">
        <v>-0.185</v>
      </c>
      <c r="I8" s="18">
        <v>-8.5299999999999994E-3</v>
      </c>
      <c r="J8" s="18">
        <v>-0.57099999999999995</v>
      </c>
      <c r="K8" s="18">
        <v>8.3000000000000004E-2</v>
      </c>
      <c r="L8" s="18">
        <v>9.4800000000000006E-3</v>
      </c>
      <c r="M8" s="18">
        <v>-4.3E-3</v>
      </c>
      <c r="N8" s="18">
        <v>-1.17E-2</v>
      </c>
      <c r="O8" s="18">
        <v>-1.67E-2</v>
      </c>
    </row>
    <row r="9" spans="1:15" x14ac:dyDescent="0.3">
      <c r="A9" s="18" t="s">
        <v>25</v>
      </c>
      <c r="B9" s="18">
        <v>-4.6E-5</v>
      </c>
      <c r="C9" s="18">
        <v>-2.9799999999999998E-4</v>
      </c>
      <c r="D9" s="18">
        <v>-3.7599999999999998E-4</v>
      </c>
      <c r="E9" s="18">
        <v>-2.6999999999999999E-5</v>
      </c>
      <c r="F9" s="18">
        <v>8.2399999999999997E-4</v>
      </c>
      <c r="G9" s="18">
        <v>-5.8E-5</v>
      </c>
      <c r="H9" s="18">
        <v>-3.3000000000000003E-5</v>
      </c>
      <c r="I9" s="18">
        <v>-7.9199999999999995E-4</v>
      </c>
      <c r="J9" s="18">
        <v>-1.9999999999999999E-6</v>
      </c>
      <c r="K9" s="18">
        <v>-4.3999999999999999E-5</v>
      </c>
      <c r="L9" s="18">
        <v>1.5E-5</v>
      </c>
      <c r="M9" s="18">
        <v>-5.0000000000000004E-6</v>
      </c>
      <c r="N9" s="18">
        <v>-3.9999999999999998E-6</v>
      </c>
      <c r="O9" s="18">
        <v>-3.8999999999999999E-5</v>
      </c>
    </row>
    <row r="10" spans="1:15" x14ac:dyDescent="0.3">
      <c r="A10" s="18" t="s">
        <v>59</v>
      </c>
      <c r="B10" s="18">
        <v>1.15E-2</v>
      </c>
      <c r="C10" s="18">
        <v>-3.09E-2</v>
      </c>
      <c r="D10" s="18">
        <v>-5.0700000000000002E-2</v>
      </c>
      <c r="E10" s="18">
        <v>-2.6700000000000001E-3</v>
      </c>
      <c r="F10" s="18">
        <v>1.73E-3</v>
      </c>
      <c r="G10" s="18">
        <v>1.98E-3</v>
      </c>
      <c r="H10" s="18">
        <v>0.19900000000000001</v>
      </c>
      <c r="I10" s="18">
        <v>-3.7699999999999997E-2</v>
      </c>
      <c r="J10" s="18">
        <v>-0.3</v>
      </c>
      <c r="K10" s="18">
        <v>-0.251</v>
      </c>
      <c r="L10" s="18">
        <v>1.31E-3</v>
      </c>
      <c r="M10" s="18">
        <v>2.5999999999999998E-4</v>
      </c>
      <c r="N10" s="18">
        <v>1.8499999999999999E-2</v>
      </c>
      <c r="O10" s="18">
        <v>-4.3400000000000001E-3</v>
      </c>
    </row>
    <row r="11" spans="1:15" ht="28.8" x14ac:dyDescent="0.3">
      <c r="A11" s="18" t="s">
        <v>60</v>
      </c>
      <c r="B11" s="18">
        <v>-2.1000000000000001E-2</v>
      </c>
      <c r="C11" s="18">
        <v>9.1200000000000003E-2</v>
      </c>
      <c r="D11" s="18">
        <v>2.3400000000000001E-2</v>
      </c>
      <c r="E11" s="18">
        <v>-9.7599999999999996E-3</v>
      </c>
      <c r="F11" s="18">
        <v>-1.73E-3</v>
      </c>
      <c r="G11" s="18">
        <v>1.3899999999999999E-2</v>
      </c>
      <c r="H11" s="18">
        <v>0.17100000000000001</v>
      </c>
      <c r="I11" s="18">
        <v>0.126</v>
      </c>
      <c r="J11" s="18">
        <v>8.8500000000000002E-3</v>
      </c>
      <c r="K11" s="18">
        <v>-8.7099999999999997E-2</v>
      </c>
      <c r="L11" s="18">
        <v>-1.24E-2</v>
      </c>
      <c r="M11" s="18">
        <v>3.1800000000000001E-3</v>
      </c>
      <c r="N11" s="18">
        <v>-6.8000000000000005E-2</v>
      </c>
      <c r="O11" s="18">
        <v>-5.9500000000000004E-3</v>
      </c>
    </row>
    <row r="12" spans="1:15" ht="28.8" x14ac:dyDescent="0.3">
      <c r="A12" s="18" t="s">
        <v>61</v>
      </c>
      <c r="B12" s="18">
        <v>-0.379</v>
      </c>
      <c r="C12" s="18">
        <v>-6.1499999999999999E-2</v>
      </c>
      <c r="D12" s="18">
        <v>-0.22800000000000001</v>
      </c>
      <c r="E12" s="18">
        <v>8.8099999999999998E-2</v>
      </c>
      <c r="F12" s="18">
        <v>-7.7399999999999997E-2</v>
      </c>
      <c r="G12" s="18">
        <v>-0.371</v>
      </c>
      <c r="H12" s="18">
        <v>-5.67E-2</v>
      </c>
      <c r="I12" s="18">
        <v>4.5199999999999997E-2</v>
      </c>
      <c r="J12" s="18">
        <v>2.7400000000000001E-2</v>
      </c>
      <c r="K12" s="18">
        <v>-0.16200000000000001</v>
      </c>
      <c r="L12" s="18">
        <v>-0.51800000000000002</v>
      </c>
      <c r="M12" s="18">
        <v>-0.40899999999999997</v>
      </c>
      <c r="N12" s="18">
        <v>-0.371</v>
      </c>
      <c r="O12" s="18">
        <v>4.6800000000000001E-2</v>
      </c>
    </row>
    <row r="13" spans="1:15" ht="28.8" x14ac:dyDescent="0.3">
      <c r="A13" s="18" t="s">
        <v>62</v>
      </c>
      <c r="B13" s="18">
        <v>9.5000000000000001E-2</v>
      </c>
      <c r="C13" s="18">
        <v>-7.7299999999999994E-2</v>
      </c>
      <c r="D13" s="18">
        <v>0.307</v>
      </c>
      <c r="E13" s="18">
        <v>0.23</v>
      </c>
      <c r="F13" s="18">
        <v>6.8400000000000002E-2</v>
      </c>
      <c r="G13" s="18">
        <v>0.254</v>
      </c>
      <c r="H13" s="18">
        <v>-1.6799999999999999E-2</v>
      </c>
      <c r="I13" s="18">
        <v>0.14000000000000001</v>
      </c>
      <c r="J13" s="18">
        <v>0.27600000000000002</v>
      </c>
      <c r="K13" s="18">
        <v>-0.11700000000000001</v>
      </c>
      <c r="L13" s="18">
        <v>0.30399999999999999</v>
      </c>
      <c r="M13" s="18">
        <v>-0.28899999999999998</v>
      </c>
      <c r="N13" s="18">
        <v>-0.25900000000000001</v>
      </c>
      <c r="O13" s="18">
        <v>0.22800000000000001</v>
      </c>
    </row>
    <row r="14" spans="1:15" x14ac:dyDescent="0.3">
      <c r="A14" s="18" t="s">
        <v>63</v>
      </c>
      <c r="B14" s="18">
        <v>0.29899999999999999</v>
      </c>
      <c r="C14" s="18">
        <v>0.26500000000000001</v>
      </c>
      <c r="D14" s="18">
        <v>5.2900000000000003E-2</v>
      </c>
      <c r="E14" s="18">
        <v>8.8199999999999997E-3</v>
      </c>
      <c r="F14" s="18">
        <v>5.7700000000000001E-2</v>
      </c>
      <c r="G14" s="18">
        <v>0.13100000000000001</v>
      </c>
      <c r="H14" s="18">
        <v>0.111</v>
      </c>
      <c r="I14" s="18">
        <v>0.121</v>
      </c>
      <c r="J14" s="18">
        <v>5.7599999999999998E-2</v>
      </c>
      <c r="K14" s="18">
        <v>0.43</v>
      </c>
      <c r="L14" s="18">
        <v>6.1499999999999999E-2</v>
      </c>
      <c r="M14" s="18">
        <v>-6.0600000000000001E-2</v>
      </c>
      <c r="N14" s="18">
        <v>0</v>
      </c>
      <c r="O14" s="18">
        <v>2.23E-2</v>
      </c>
    </row>
    <row r="15" spans="1:15" x14ac:dyDescent="0.3">
      <c r="A15" s="18" t="s">
        <v>132</v>
      </c>
      <c r="B15" s="18">
        <v>-0.54800000000000004</v>
      </c>
      <c r="C15" s="18">
        <v>-0.36799999999999999</v>
      </c>
      <c r="D15" s="18">
        <v>-0.30099999999999999</v>
      </c>
      <c r="E15" s="18">
        <v>-0.42399999999999999</v>
      </c>
      <c r="F15" s="18">
        <v>-0.61</v>
      </c>
      <c r="G15" s="18">
        <v>-0.53200000000000003</v>
      </c>
      <c r="H15" s="18">
        <v>-0.50900000000000001</v>
      </c>
      <c r="I15" s="18">
        <v>0.374</v>
      </c>
      <c r="J15" s="18">
        <v>0.39600000000000002</v>
      </c>
      <c r="K15" s="18">
        <v>4.19E-2</v>
      </c>
      <c r="L15" s="18">
        <v>0.189</v>
      </c>
      <c r="M15" s="18">
        <v>-0.10100000000000001</v>
      </c>
      <c r="N15" s="18">
        <v>-0.121</v>
      </c>
      <c r="O15" s="18">
        <v>-0.42199999999999999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2314-6EF7-4B16-835B-1328B16C6C64}">
  <dimension ref="A1:N27"/>
  <sheetViews>
    <sheetView workbookViewId="0"/>
  </sheetViews>
  <sheetFormatPr defaultRowHeight="14.4" x14ac:dyDescent="0.3"/>
  <sheetData>
    <row r="1" spans="1:14" x14ac:dyDescent="0.3">
      <c r="B1" t="s">
        <v>64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4" x14ac:dyDescent="0.3">
      <c r="A2">
        <v>1</v>
      </c>
      <c r="B2" t="s">
        <v>2</v>
      </c>
      <c r="C2">
        <v>0.99999990000000005</v>
      </c>
      <c r="D2">
        <v>0.35339579999999998</v>
      </c>
      <c r="E2">
        <v>0.87634400000000001</v>
      </c>
      <c r="F2">
        <v>0.51750110000000005</v>
      </c>
      <c r="G2">
        <v>0.28698669999999998</v>
      </c>
      <c r="H2">
        <v>0.93974630000000003</v>
      </c>
      <c r="I2">
        <v>0.1306881</v>
      </c>
      <c r="J2">
        <v>0.42034820000000001</v>
      </c>
      <c r="K2">
        <v>0.62871759999999999</v>
      </c>
      <c r="L2">
        <v>0.89325209999999999</v>
      </c>
      <c r="M2">
        <v>0.89121649999999997</v>
      </c>
      <c r="N2">
        <v>0</v>
      </c>
    </row>
    <row r="3" spans="1:14" x14ac:dyDescent="0.3">
      <c r="A3">
        <v>2</v>
      </c>
      <c r="B3" t="s">
        <v>8</v>
      </c>
      <c r="C3">
        <v>0.35339579999999998</v>
      </c>
      <c r="D3">
        <v>1</v>
      </c>
      <c r="E3">
        <v>0.2506681</v>
      </c>
      <c r="F3">
        <v>0.34762500000000002</v>
      </c>
      <c r="G3">
        <v>0.7043914</v>
      </c>
      <c r="H3">
        <v>0.20635909999999999</v>
      </c>
      <c r="I3">
        <v>0.53698060000000003</v>
      </c>
      <c r="J3">
        <v>0.88212539999999995</v>
      </c>
      <c r="K3">
        <v>0.47457339999999998</v>
      </c>
      <c r="L3">
        <v>0.53414950000000005</v>
      </c>
      <c r="M3">
        <v>0.13676540000000001</v>
      </c>
      <c r="N3">
        <v>0</v>
      </c>
    </row>
    <row r="4" spans="1:14" x14ac:dyDescent="0.3">
      <c r="A4">
        <v>3</v>
      </c>
      <c r="B4" t="s">
        <v>11</v>
      </c>
      <c r="C4">
        <v>0.87634400000000001</v>
      </c>
      <c r="D4">
        <v>0.2506681</v>
      </c>
      <c r="E4">
        <v>1</v>
      </c>
      <c r="F4">
        <v>0.74904539999999997</v>
      </c>
      <c r="G4">
        <v>0.2976471</v>
      </c>
      <c r="H4">
        <v>0.96435510000000002</v>
      </c>
      <c r="I4">
        <v>0.19558400000000001</v>
      </c>
      <c r="J4">
        <v>0.51296819999999999</v>
      </c>
      <c r="K4">
        <v>0.81772</v>
      </c>
      <c r="L4">
        <v>0.630575</v>
      </c>
      <c r="M4">
        <v>0.94731650000000001</v>
      </c>
      <c r="N4">
        <v>0</v>
      </c>
    </row>
    <row r="5" spans="1:14" x14ac:dyDescent="0.3">
      <c r="A5">
        <v>4</v>
      </c>
      <c r="B5" t="s">
        <v>14</v>
      </c>
      <c r="C5">
        <v>0.51750110000000005</v>
      </c>
      <c r="D5">
        <v>0.34762500000000002</v>
      </c>
      <c r="E5">
        <v>0.74904539999999997</v>
      </c>
      <c r="F5">
        <v>1</v>
      </c>
      <c r="G5">
        <v>0.2465707</v>
      </c>
      <c r="H5">
        <v>0.59013680000000002</v>
      </c>
      <c r="I5">
        <v>0.2048352</v>
      </c>
      <c r="J5">
        <v>0.60491600000000001</v>
      </c>
      <c r="K5">
        <v>0.883602</v>
      </c>
      <c r="L5">
        <v>0.43565470000000001</v>
      </c>
      <c r="M5">
        <v>0.5723473</v>
      </c>
      <c r="N5">
        <v>0</v>
      </c>
    </row>
    <row r="6" spans="1:14" x14ac:dyDescent="0.3">
      <c r="A6">
        <v>5</v>
      </c>
      <c r="B6" t="s">
        <v>17</v>
      </c>
      <c r="C6">
        <v>0.28698669999999998</v>
      </c>
      <c r="D6">
        <v>0.7043914</v>
      </c>
      <c r="E6">
        <v>0.2976471</v>
      </c>
      <c r="F6">
        <v>0.2465707</v>
      </c>
      <c r="G6">
        <v>1</v>
      </c>
      <c r="H6">
        <v>0.28139779999999998</v>
      </c>
      <c r="I6">
        <v>0.50028819999999996</v>
      </c>
      <c r="J6">
        <v>0.68986190000000003</v>
      </c>
      <c r="K6">
        <v>0.27667649999999999</v>
      </c>
      <c r="L6">
        <v>0.249221</v>
      </c>
      <c r="M6">
        <v>0.26297199999999998</v>
      </c>
      <c r="N6">
        <v>0</v>
      </c>
    </row>
    <row r="7" spans="1:14" x14ac:dyDescent="0.3">
      <c r="A7">
        <v>6</v>
      </c>
      <c r="B7" t="s">
        <v>21</v>
      </c>
      <c r="C7">
        <v>0.93974630000000003</v>
      </c>
      <c r="D7">
        <v>0.20635909999999999</v>
      </c>
      <c r="E7">
        <v>0.96435510000000002</v>
      </c>
      <c r="F7">
        <v>0.59013680000000002</v>
      </c>
      <c r="G7">
        <v>0.28139779999999998</v>
      </c>
      <c r="H7">
        <v>0.99999990000000005</v>
      </c>
      <c r="I7">
        <v>0.13508729999999999</v>
      </c>
      <c r="J7">
        <v>0.39382119999999998</v>
      </c>
      <c r="K7">
        <v>0.66658130000000004</v>
      </c>
      <c r="L7">
        <v>0.69624870000000005</v>
      </c>
      <c r="M7">
        <v>0.98948800000000003</v>
      </c>
      <c r="N7">
        <v>0</v>
      </c>
    </row>
    <row r="8" spans="1:14" x14ac:dyDescent="0.3">
      <c r="A8">
        <v>7</v>
      </c>
      <c r="B8" t="s">
        <v>23</v>
      </c>
      <c r="C8">
        <v>0.1306881</v>
      </c>
      <c r="D8">
        <v>0.53698060000000003</v>
      </c>
      <c r="E8">
        <v>0.19558400000000001</v>
      </c>
      <c r="F8">
        <v>0.2048352</v>
      </c>
      <c r="G8">
        <v>0.50028819999999996</v>
      </c>
      <c r="H8">
        <v>0.13508729999999999</v>
      </c>
      <c r="I8">
        <v>1</v>
      </c>
      <c r="J8">
        <v>0.59286130000000004</v>
      </c>
      <c r="K8">
        <v>0.39489659999999999</v>
      </c>
      <c r="L8">
        <v>0.13416420000000001</v>
      </c>
      <c r="M8">
        <v>0.1111868</v>
      </c>
      <c r="N8">
        <v>0</v>
      </c>
    </row>
    <row r="9" spans="1:14" x14ac:dyDescent="0.3">
      <c r="A9">
        <v>8</v>
      </c>
      <c r="B9" t="s">
        <v>25</v>
      </c>
      <c r="C9">
        <v>0.42034820000000001</v>
      </c>
      <c r="D9">
        <v>0.88212539999999995</v>
      </c>
      <c r="E9">
        <v>0.51296819999999999</v>
      </c>
      <c r="F9">
        <v>0.60491600000000001</v>
      </c>
      <c r="G9">
        <v>0.68986190000000003</v>
      </c>
      <c r="H9">
        <v>0.39382119999999998</v>
      </c>
      <c r="I9">
        <v>0.59286130000000004</v>
      </c>
      <c r="J9">
        <v>1</v>
      </c>
      <c r="K9">
        <v>0.75350709999999999</v>
      </c>
      <c r="L9">
        <v>0.4424998</v>
      </c>
      <c r="M9">
        <v>0.33904420000000002</v>
      </c>
      <c r="N9">
        <v>0</v>
      </c>
    </row>
    <row r="10" spans="1:14" x14ac:dyDescent="0.3">
      <c r="A10">
        <v>9</v>
      </c>
      <c r="B10" t="s">
        <v>59</v>
      </c>
      <c r="C10">
        <v>0.62871759999999999</v>
      </c>
      <c r="D10">
        <v>0.47457339999999998</v>
      </c>
      <c r="E10">
        <v>0.81772</v>
      </c>
      <c r="F10">
        <v>0.883602</v>
      </c>
      <c r="G10">
        <v>0.27667649999999999</v>
      </c>
      <c r="H10">
        <v>0.66658130000000004</v>
      </c>
      <c r="I10">
        <v>0.39489659999999999</v>
      </c>
      <c r="J10">
        <v>0.75350709999999999</v>
      </c>
      <c r="K10">
        <v>1</v>
      </c>
      <c r="L10">
        <v>0.54512720000000003</v>
      </c>
      <c r="M10">
        <v>0.61685670000000004</v>
      </c>
      <c r="N10">
        <v>0</v>
      </c>
    </row>
    <row r="11" spans="1:14" x14ac:dyDescent="0.3">
      <c r="A11">
        <v>10</v>
      </c>
      <c r="B11" t="s">
        <v>60</v>
      </c>
      <c r="C11">
        <v>0.89325209999999999</v>
      </c>
      <c r="D11">
        <v>0.53414950000000005</v>
      </c>
      <c r="E11">
        <v>0.630575</v>
      </c>
      <c r="F11">
        <v>0.43565470000000001</v>
      </c>
      <c r="G11">
        <v>0.249221</v>
      </c>
      <c r="H11">
        <v>0.69624870000000005</v>
      </c>
      <c r="I11">
        <v>0.13416420000000001</v>
      </c>
      <c r="J11">
        <v>0.4424998</v>
      </c>
      <c r="K11">
        <v>0.54512720000000003</v>
      </c>
      <c r="L11">
        <v>1</v>
      </c>
      <c r="M11">
        <v>0.61126029999999998</v>
      </c>
      <c r="N11">
        <v>0</v>
      </c>
    </row>
    <row r="12" spans="1:14" x14ac:dyDescent="0.3">
      <c r="A12">
        <v>11</v>
      </c>
      <c r="B12" t="s">
        <v>61</v>
      </c>
      <c r="C12">
        <v>0.89121649999999997</v>
      </c>
      <c r="D12">
        <v>0.13676540000000001</v>
      </c>
      <c r="E12">
        <v>0.94731650000000001</v>
      </c>
      <c r="F12">
        <v>0.5723473</v>
      </c>
      <c r="G12">
        <v>0.26297199999999998</v>
      </c>
      <c r="H12">
        <v>0.98948800000000003</v>
      </c>
      <c r="I12">
        <v>0.1111868</v>
      </c>
      <c r="J12">
        <v>0.33904420000000002</v>
      </c>
      <c r="K12">
        <v>0.61685670000000004</v>
      </c>
      <c r="L12">
        <v>0.61126029999999998</v>
      </c>
      <c r="M12">
        <v>1</v>
      </c>
      <c r="N12">
        <v>0</v>
      </c>
    </row>
    <row r="13" spans="1:14" x14ac:dyDescent="0.3">
      <c r="A13">
        <v>12</v>
      </c>
      <c r="B13" t="s">
        <v>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5" spans="1:14" x14ac:dyDescent="0.3">
      <c r="B15" t="s">
        <v>64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</row>
    <row r="16" spans="1:14" x14ac:dyDescent="0.3">
      <c r="A16">
        <v>1</v>
      </c>
      <c r="B16" t="s">
        <v>2</v>
      </c>
      <c r="C16">
        <v>1</v>
      </c>
      <c r="D16">
        <v>0.99427600000000005</v>
      </c>
      <c r="E16">
        <v>0.26906740000000001</v>
      </c>
      <c r="F16">
        <v>0.529644</v>
      </c>
      <c r="G16">
        <v>0.99999819999999995</v>
      </c>
      <c r="H16">
        <v>0.99427600000000005</v>
      </c>
      <c r="I16">
        <v>0.99427600000000005</v>
      </c>
      <c r="J16">
        <v>0.99427600000000005</v>
      </c>
      <c r="K16">
        <v>3.0901320000000002E-3</v>
      </c>
      <c r="L16">
        <v>1.4386290000000001E-3</v>
      </c>
      <c r="M16">
        <v>4.2769359999999997E-4</v>
      </c>
      <c r="N16">
        <v>1.8085390000000001E-4</v>
      </c>
    </row>
    <row r="17" spans="1:14" x14ac:dyDescent="0.3">
      <c r="A17">
        <v>2</v>
      </c>
      <c r="B17" t="s">
        <v>8</v>
      </c>
      <c r="C17">
        <v>0.99427600000000005</v>
      </c>
      <c r="D17">
        <v>1</v>
      </c>
      <c r="E17">
        <v>0.25298989999999999</v>
      </c>
      <c r="F17">
        <v>0.51169560000000003</v>
      </c>
      <c r="G17">
        <v>0.99407140000000005</v>
      </c>
      <c r="H17">
        <v>1</v>
      </c>
      <c r="I17">
        <v>1</v>
      </c>
      <c r="J17">
        <v>1</v>
      </c>
      <c r="K17">
        <v>3.0679549999999998E-3</v>
      </c>
      <c r="L17">
        <v>0</v>
      </c>
      <c r="M17">
        <v>3.9559950000000001E-4</v>
      </c>
      <c r="N17">
        <v>1.792842E-4</v>
      </c>
    </row>
    <row r="18" spans="1:14" x14ac:dyDescent="0.3">
      <c r="A18">
        <v>3</v>
      </c>
      <c r="B18" t="s">
        <v>11</v>
      </c>
      <c r="C18">
        <v>0.26906740000000001</v>
      </c>
      <c r="D18">
        <v>0.25298989999999999</v>
      </c>
      <c r="E18">
        <v>1</v>
      </c>
      <c r="F18">
        <v>0.94776559999999999</v>
      </c>
      <c r="G18">
        <v>0.26933430000000003</v>
      </c>
      <c r="H18">
        <v>0.25298989999999999</v>
      </c>
      <c r="I18">
        <v>0.25298989999999999</v>
      </c>
      <c r="J18">
        <v>0.25298989999999999</v>
      </c>
      <c r="K18">
        <v>0.92094540000000003</v>
      </c>
      <c r="L18">
        <v>0.33204850000000002</v>
      </c>
      <c r="M18">
        <v>1.950596E-3</v>
      </c>
      <c r="N18">
        <v>2.7150859999999999E-4</v>
      </c>
    </row>
    <row r="19" spans="1:14" x14ac:dyDescent="0.3">
      <c r="A19">
        <v>4</v>
      </c>
      <c r="B19" t="s">
        <v>14</v>
      </c>
      <c r="C19">
        <v>0.529644</v>
      </c>
      <c r="D19">
        <v>0.51169560000000003</v>
      </c>
      <c r="E19">
        <v>0.94776559999999999</v>
      </c>
      <c r="F19">
        <v>0.99999990000000005</v>
      </c>
      <c r="G19">
        <v>0.52990930000000003</v>
      </c>
      <c r="H19">
        <v>0.51169560000000003</v>
      </c>
      <c r="I19">
        <v>0.51169560000000003</v>
      </c>
      <c r="J19">
        <v>0.51169560000000003</v>
      </c>
      <c r="K19">
        <v>0.79445129999999997</v>
      </c>
      <c r="L19">
        <v>0.2935024</v>
      </c>
      <c r="M19">
        <v>1.8043880000000001E-3</v>
      </c>
      <c r="N19">
        <v>2.8967590000000002E-4</v>
      </c>
    </row>
    <row r="20" spans="1:14" x14ac:dyDescent="0.3">
      <c r="A20">
        <v>5</v>
      </c>
      <c r="B20" t="s">
        <v>17</v>
      </c>
      <c r="C20">
        <v>0.99999819999999995</v>
      </c>
      <c r="D20">
        <v>0.99407140000000005</v>
      </c>
      <c r="E20">
        <v>0.26933430000000003</v>
      </c>
      <c r="F20">
        <v>0.52990930000000003</v>
      </c>
      <c r="G20">
        <v>1</v>
      </c>
      <c r="H20">
        <v>0.99407140000000005</v>
      </c>
      <c r="I20">
        <v>0.99407140000000005</v>
      </c>
      <c r="J20">
        <v>0.99407140000000005</v>
      </c>
      <c r="K20">
        <v>3.0901769999999999E-3</v>
      </c>
      <c r="L20">
        <v>1.4659689999999999E-3</v>
      </c>
      <c r="M20">
        <v>4.2824109999999997E-4</v>
      </c>
      <c r="N20">
        <v>1.80862E-4</v>
      </c>
    </row>
    <row r="21" spans="1:14" x14ac:dyDescent="0.3">
      <c r="A21">
        <v>6</v>
      </c>
      <c r="B21" t="s">
        <v>21</v>
      </c>
      <c r="C21">
        <v>0.99427600000000005</v>
      </c>
      <c r="D21">
        <v>1</v>
      </c>
      <c r="E21">
        <v>0.25298989999999999</v>
      </c>
      <c r="F21">
        <v>0.51169560000000003</v>
      </c>
      <c r="G21">
        <v>0.99407140000000005</v>
      </c>
      <c r="H21">
        <v>1</v>
      </c>
      <c r="I21">
        <v>1</v>
      </c>
      <c r="J21">
        <v>1</v>
      </c>
      <c r="K21">
        <v>3.0679549999999998E-3</v>
      </c>
      <c r="L21">
        <v>0</v>
      </c>
      <c r="M21">
        <v>3.9559950000000001E-4</v>
      </c>
      <c r="N21">
        <v>1.792842E-4</v>
      </c>
    </row>
    <row r="22" spans="1:14" x14ac:dyDescent="0.3">
      <c r="A22">
        <v>7</v>
      </c>
      <c r="B22" t="s">
        <v>23</v>
      </c>
      <c r="C22">
        <v>0.99427600000000005</v>
      </c>
      <c r="D22">
        <v>1</v>
      </c>
      <c r="E22">
        <v>0.25298989999999999</v>
      </c>
      <c r="F22">
        <v>0.51169560000000003</v>
      </c>
      <c r="G22">
        <v>0.99407140000000005</v>
      </c>
      <c r="H22">
        <v>1</v>
      </c>
      <c r="I22">
        <v>1</v>
      </c>
      <c r="J22">
        <v>1</v>
      </c>
      <c r="K22">
        <v>3.0679549999999998E-3</v>
      </c>
      <c r="L22">
        <v>0</v>
      </c>
      <c r="M22">
        <v>3.9559950000000001E-4</v>
      </c>
      <c r="N22">
        <v>1.792842E-4</v>
      </c>
    </row>
    <row r="23" spans="1:14" x14ac:dyDescent="0.3">
      <c r="A23">
        <v>8</v>
      </c>
      <c r="B23" t="s">
        <v>25</v>
      </c>
      <c r="C23">
        <v>0.99427600000000005</v>
      </c>
      <c r="D23">
        <v>1</v>
      </c>
      <c r="E23">
        <v>0.25298989999999999</v>
      </c>
      <c r="F23">
        <v>0.51169560000000003</v>
      </c>
      <c r="G23">
        <v>0.99407140000000005</v>
      </c>
      <c r="H23">
        <v>1</v>
      </c>
      <c r="I23">
        <v>1</v>
      </c>
      <c r="J23">
        <v>1</v>
      </c>
      <c r="K23">
        <v>3.0679549999999998E-3</v>
      </c>
      <c r="L23">
        <v>0</v>
      </c>
      <c r="M23">
        <v>3.9559950000000001E-4</v>
      </c>
      <c r="N23">
        <v>1.792842E-4</v>
      </c>
    </row>
    <row r="24" spans="1:14" x14ac:dyDescent="0.3">
      <c r="A24">
        <v>9</v>
      </c>
      <c r="B24" t="s">
        <v>59</v>
      </c>
      <c r="C24">
        <v>3.0901320000000002E-3</v>
      </c>
      <c r="D24">
        <v>3.0679549999999998E-3</v>
      </c>
      <c r="E24">
        <v>0.92094540000000003</v>
      </c>
      <c r="F24">
        <v>0.79445129999999997</v>
      </c>
      <c r="G24">
        <v>3.0901769999999999E-3</v>
      </c>
      <c r="H24">
        <v>3.0679549999999998E-3</v>
      </c>
      <c r="I24">
        <v>3.0679549999999998E-3</v>
      </c>
      <c r="J24">
        <v>3.0679549999999998E-3</v>
      </c>
      <c r="K24">
        <v>1</v>
      </c>
      <c r="L24">
        <v>0.44703579999999998</v>
      </c>
      <c r="M24">
        <v>4.848008E-3</v>
      </c>
      <c r="N24">
        <v>8.3623360000000002E-4</v>
      </c>
    </row>
    <row r="25" spans="1:14" x14ac:dyDescent="0.3">
      <c r="A25">
        <v>10</v>
      </c>
      <c r="B25" t="s">
        <v>60</v>
      </c>
      <c r="C25">
        <v>1.4386290000000001E-3</v>
      </c>
      <c r="D25">
        <v>0</v>
      </c>
      <c r="E25">
        <v>0.33204850000000002</v>
      </c>
      <c r="F25">
        <v>0.2935024</v>
      </c>
      <c r="G25">
        <v>1.4659689999999999E-3</v>
      </c>
      <c r="H25">
        <v>0</v>
      </c>
      <c r="I25">
        <v>0</v>
      </c>
      <c r="J25">
        <v>0</v>
      </c>
      <c r="K25">
        <v>0.44703579999999998</v>
      </c>
      <c r="L25">
        <v>1</v>
      </c>
      <c r="M25">
        <v>2.2221169999999998E-2</v>
      </c>
      <c r="N25">
        <v>1.166535E-2</v>
      </c>
    </row>
    <row r="26" spans="1:14" x14ac:dyDescent="0.3">
      <c r="A26">
        <v>11</v>
      </c>
      <c r="B26" t="s">
        <v>61</v>
      </c>
      <c r="C26">
        <v>4.2769359999999997E-4</v>
      </c>
      <c r="D26">
        <v>3.9559950000000001E-4</v>
      </c>
      <c r="E26">
        <v>1.950596E-3</v>
      </c>
      <c r="F26">
        <v>1.8043880000000001E-3</v>
      </c>
      <c r="G26">
        <v>4.2824109999999997E-4</v>
      </c>
      <c r="H26">
        <v>3.9559950000000001E-4</v>
      </c>
      <c r="I26">
        <v>3.9559950000000001E-4</v>
      </c>
      <c r="J26">
        <v>3.9559950000000001E-4</v>
      </c>
      <c r="K26">
        <v>4.848008E-3</v>
      </c>
      <c r="L26">
        <v>2.2221169999999998E-2</v>
      </c>
      <c r="M26">
        <v>1</v>
      </c>
      <c r="N26">
        <v>0.39990510000000001</v>
      </c>
    </row>
    <row r="27" spans="1:14" x14ac:dyDescent="0.3">
      <c r="A27">
        <v>12</v>
      </c>
      <c r="B27" t="s">
        <v>62</v>
      </c>
      <c r="C27">
        <v>1.8085390000000001E-4</v>
      </c>
      <c r="D27">
        <v>1.792842E-4</v>
      </c>
      <c r="E27">
        <v>2.7150859999999999E-4</v>
      </c>
      <c r="F27">
        <v>2.8967590000000002E-4</v>
      </c>
      <c r="G27">
        <v>1.80862E-4</v>
      </c>
      <c r="H27">
        <v>1.792842E-4</v>
      </c>
      <c r="I27">
        <v>1.792842E-4</v>
      </c>
      <c r="J27">
        <v>1.792842E-4</v>
      </c>
      <c r="K27">
        <v>8.3623360000000002E-4</v>
      </c>
      <c r="L27">
        <v>1.166535E-2</v>
      </c>
      <c r="M27">
        <v>0.39990510000000001</v>
      </c>
      <c r="N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calculated_data</vt:lpstr>
      <vt:lpstr>Diet_Matrix</vt:lpstr>
      <vt:lpstr>table 05</vt:lpstr>
      <vt:lpstr>table 08</vt:lpstr>
      <vt:lpstr>table 07</vt:lpstr>
      <vt:lpstr>table 6</vt:lpstr>
      <vt:lpstr>MTI</vt:lpstr>
      <vt:lpstr>niche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Ataher Ali</dc:creator>
  <cp:lastModifiedBy>Ataher Ali</cp:lastModifiedBy>
  <dcterms:created xsi:type="dcterms:W3CDTF">2026-07-10T21:03:57Z</dcterms:created>
  <dcterms:modified xsi:type="dcterms:W3CDTF">2026-07-28T20:41:05Z</dcterms:modified>
</cp:coreProperties>
</file>